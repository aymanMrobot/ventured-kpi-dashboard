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venturedsolutions-my.sharepoint.com/personal/rebecca_fowkes_venturedsolutions_co_uk/Documents/"/>
    </mc:Choice>
  </mc:AlternateContent>
  <xr:revisionPtr revIDLastSave="0" documentId="8_{AC136521-08E2-499E-A187-31FD8085BC58}" xr6:coauthVersionLast="47" xr6:coauthVersionMax="47" xr10:uidLastSave="{00000000-0000-0000-0000-000000000000}"/>
  <bookViews>
    <workbookView xWindow="10" yWindow="10" windowWidth="19180" windowHeight="10060" tabRatio="753" xr2:uid="{2AE1B0FD-F3A9-436E-BAB5-BAFB4464E86B}"/>
  </bookViews>
  <sheets>
    <sheet name="2026 Tracker" sheetId="2" r:id="rId1"/>
    <sheet name="Budget Planning" sheetId="11" r:id="rId2"/>
    <sheet name="prior years" sheetId="10" r:id="rId3"/>
    <sheet name="Terms" sheetId="13" r:id="rId4"/>
    <sheet name="Targets" sheetId="1" r:id="rId5"/>
    <sheet name="ELT Graph" sheetId="8" r:id="rId6"/>
    <sheet name="Year on year" sheetId="1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I4" i="2" a="1"/>
  <c r="I4" i="2" s="1"/>
  <c r="G3" i="2"/>
  <c r="N4" i="2"/>
  <c r="K4" i="2"/>
  <c r="G4" i="2"/>
  <c r="H4" i="2"/>
  <c r="D4" i="2"/>
  <c r="D16" i="10" l="1"/>
  <c r="C16" i="10"/>
  <c r="K3" i="2"/>
  <c r="N3" i="2"/>
  <c r="I3" i="2"/>
  <c r="H3" i="2"/>
  <c r="D3" i="2"/>
  <c r="C20" i="14"/>
  <c r="C19" i="14"/>
  <c r="C18" i="14"/>
  <c r="C17" i="14"/>
  <c r="S15" i="11"/>
  <c r="R15" i="11"/>
  <c r="R12" i="11"/>
  <c r="R13" i="11"/>
  <c r="R14" i="11"/>
  <c r="R4" i="11"/>
  <c r="S6" i="11"/>
  <c r="M4" i="11"/>
  <c r="L20" i="11"/>
  <c r="L21" i="11"/>
  <c r="L22" i="11"/>
  <c r="L23" i="11"/>
  <c r="L24" i="11"/>
  <c r="L25" i="11"/>
  <c r="L26" i="11"/>
  <c r="L27" i="11"/>
  <c r="L28" i="11"/>
  <c r="L29" i="11"/>
  <c r="L19" i="11"/>
  <c r="B15" i="2"/>
  <c r="G20" i="14" l="1"/>
  <c r="G19" i="14"/>
  <c r="G18" i="14"/>
  <c r="G17" i="14"/>
  <c r="F19" i="14"/>
  <c r="F18" i="14"/>
  <c r="F17" i="14"/>
  <c r="F20" i="14"/>
  <c r="G14" i="14"/>
  <c r="F14" i="14"/>
  <c r="H14" i="14" s="1"/>
  <c r="H13" i="14"/>
  <c r="H12" i="14"/>
  <c r="H11" i="14"/>
  <c r="H10" i="14"/>
  <c r="H9" i="14"/>
  <c r="H8" i="14"/>
  <c r="H7" i="14"/>
  <c r="H6" i="14"/>
  <c r="H5" i="14"/>
  <c r="H4" i="14"/>
  <c r="H3" i="14"/>
  <c r="H2" i="14"/>
  <c r="C14" i="14"/>
  <c r="B17" i="14"/>
  <c r="B20" i="14"/>
  <c r="B18" i="14"/>
  <c r="D13" i="14"/>
  <c r="D12" i="14"/>
  <c r="D11" i="14"/>
  <c r="D10" i="14"/>
  <c r="B14" i="14"/>
  <c r="D8" i="14"/>
  <c r="D7" i="14"/>
  <c r="D6" i="14"/>
  <c r="D5" i="14"/>
  <c r="D4" i="14"/>
  <c r="D3" i="14"/>
  <c r="D2" i="14"/>
  <c r="E15" i="10"/>
  <c r="E20" i="13"/>
  <c r="D20" i="13"/>
  <c r="E19" i="13"/>
  <c r="D19" i="13"/>
  <c r="E18" i="13"/>
  <c r="D18" i="13"/>
  <c r="C20" i="13"/>
  <c r="C19" i="13"/>
  <c r="C18" i="13"/>
  <c r="B20" i="13"/>
  <c r="B18" i="13"/>
  <c r="B19" i="13"/>
  <c r="E15" i="13"/>
  <c r="D15" i="13"/>
  <c r="C15" i="13"/>
  <c r="B15" i="13"/>
  <c r="B18" i="2"/>
  <c r="H20" i="14" l="1"/>
  <c r="C21" i="14"/>
  <c r="H19" i="14"/>
  <c r="G21" i="14"/>
  <c r="H18" i="14"/>
  <c r="F21" i="14"/>
  <c r="H21" i="14"/>
  <c r="H17" i="14"/>
  <c r="D20" i="14"/>
  <c r="D14" i="14"/>
  <c r="D17" i="14"/>
  <c r="D9" i="14"/>
  <c r="D18" i="14"/>
  <c r="B19" i="14"/>
  <c r="D19" i="14" s="1"/>
  <c r="E21" i="13"/>
  <c r="B21" i="13"/>
  <c r="C21" i="13"/>
  <c r="D21" i="13"/>
  <c r="B21" i="14" l="1"/>
  <c r="D21" i="14" s="1"/>
  <c r="E15" i="2" l="1"/>
  <c r="O18" i="2"/>
  <c r="O15" i="2"/>
  <c r="F22" i="11" l="1"/>
  <c r="E22" i="11"/>
  <c r="D22" i="11"/>
  <c r="C22" i="11"/>
  <c r="B22" i="11"/>
  <c r="F21" i="11"/>
  <c r="E21" i="11"/>
  <c r="D21" i="11"/>
  <c r="C21" i="11"/>
  <c r="B21" i="11"/>
  <c r="F20" i="11"/>
  <c r="E20" i="11"/>
  <c r="D20" i="11"/>
  <c r="C20" i="11"/>
  <c r="B20" i="11"/>
  <c r="F19" i="11"/>
  <c r="E19" i="11"/>
  <c r="D19" i="11"/>
  <c r="C19" i="11"/>
  <c r="B19" i="11"/>
  <c r="H16" i="11"/>
  <c r="G16" i="11"/>
  <c r="F16" i="11"/>
  <c r="J9" i="11" s="1"/>
  <c r="C16" i="11"/>
  <c r="B16" i="11"/>
  <c r="N15" i="11"/>
  <c r="O15" i="11" s="1"/>
  <c r="N14" i="11"/>
  <c r="O14" i="11" s="1"/>
  <c r="N13" i="11"/>
  <c r="O13" i="11" s="1"/>
  <c r="E13" i="11"/>
  <c r="D13" i="11"/>
  <c r="N12" i="11"/>
  <c r="O12" i="11" s="1"/>
  <c r="E12" i="11"/>
  <c r="D12" i="11"/>
  <c r="N11" i="11"/>
  <c r="O11" i="11" s="1"/>
  <c r="R11" i="11" s="1"/>
  <c r="S11" i="11" s="1"/>
  <c r="E11" i="11"/>
  <c r="D11" i="11"/>
  <c r="M10" i="11"/>
  <c r="E10" i="11"/>
  <c r="D10" i="11"/>
  <c r="N9" i="11"/>
  <c r="O9" i="11" s="1"/>
  <c r="R9" i="11" s="1"/>
  <c r="S9" i="11" s="1"/>
  <c r="D9" i="11"/>
  <c r="N8" i="11"/>
  <c r="O8" i="11" s="1"/>
  <c r="R8" i="11" s="1"/>
  <c r="S8" i="11" s="1"/>
  <c r="D8" i="11"/>
  <c r="N7" i="11"/>
  <c r="O7" i="11" s="1"/>
  <c r="R7" i="11" s="1"/>
  <c r="S7" i="11" s="1"/>
  <c r="D7" i="11"/>
  <c r="N6" i="11"/>
  <c r="O6" i="11" s="1"/>
  <c r="D6" i="11"/>
  <c r="N5" i="11"/>
  <c r="O5" i="11" s="1"/>
  <c r="D5" i="11"/>
  <c r="N4" i="11"/>
  <c r="D4" i="11"/>
  <c r="O4" i="11" l="1"/>
  <c r="J13" i="11"/>
  <c r="J15" i="11"/>
  <c r="J14" i="11"/>
  <c r="J4" i="11"/>
  <c r="J5" i="11"/>
  <c r="J7" i="11"/>
  <c r="N10" i="11"/>
  <c r="O10" i="11" s="1"/>
  <c r="R10" i="11" s="1"/>
  <c r="S10" i="11" s="1"/>
  <c r="J12" i="11"/>
  <c r="M9" i="11"/>
  <c r="J6" i="11"/>
  <c r="E16" i="11"/>
  <c r="E23" i="11"/>
  <c r="J8" i="11"/>
  <c r="F23" i="11"/>
  <c r="B23" i="11"/>
  <c r="M8" i="11"/>
  <c r="M14" i="11"/>
  <c r="M7" i="11"/>
  <c r="C23" i="11"/>
  <c r="M6" i="11"/>
  <c r="M5" i="11"/>
  <c r="J11" i="11"/>
  <c r="M13" i="11"/>
  <c r="M15" i="11"/>
  <c r="J10" i="11"/>
  <c r="M12" i="11"/>
  <c r="D23" i="11"/>
  <c r="M11" i="11"/>
  <c r="D15" i="10"/>
  <c r="C11" i="10"/>
  <c r="C10" i="10"/>
  <c r="C9" i="10"/>
  <c r="C15" i="10" s="1"/>
  <c r="B15" i="10"/>
  <c r="M19" i="2" l="1"/>
  <c r="M18" i="2"/>
  <c r="P18" i="2" l="1"/>
  <c r="L19" i="2" l="1"/>
  <c r="L18" i="2"/>
  <c r="F19" i="2" l="1"/>
  <c r="J10" i="1" l="1"/>
  <c r="K10" i="1"/>
  <c r="H10" i="1"/>
  <c r="G10" i="1"/>
  <c r="P21" i="2" l="1"/>
  <c r="P20" i="2"/>
  <c r="P19" i="2"/>
  <c r="O21" i="2"/>
  <c r="O20" i="2"/>
  <c r="O19" i="2"/>
  <c r="Q18" i="2"/>
  <c r="M21" i="2"/>
  <c r="M20" i="2"/>
  <c r="L21" i="2"/>
  <c r="L20" i="2"/>
  <c r="P15" i="2"/>
  <c r="M15" i="2"/>
  <c r="L15" i="2"/>
  <c r="F20" i="2"/>
  <c r="F18" i="2"/>
  <c r="J18" i="2" s="1"/>
  <c r="K18" i="2" s="1"/>
  <c r="C21" i="2"/>
  <c r="C20" i="2"/>
  <c r="C19" i="2"/>
  <c r="C18" i="2"/>
  <c r="B21" i="2"/>
  <c r="B20" i="2"/>
  <c r="B19" i="2"/>
  <c r="E21" i="2"/>
  <c r="E20" i="2"/>
  <c r="E19" i="2"/>
  <c r="G19" i="2" s="1"/>
  <c r="E18" i="2"/>
  <c r="F15" i="2"/>
  <c r="C15" i="2"/>
  <c r="D29" i="1"/>
  <c r="E29" i="1" s="1"/>
  <c r="F29" i="1" s="1"/>
  <c r="G29" i="1" s="1"/>
  <c r="H29" i="1" s="1"/>
  <c r="D27" i="1"/>
  <c r="E27" i="1" s="1"/>
  <c r="F27" i="1" s="1"/>
  <c r="G27" i="1" s="1"/>
  <c r="R26" i="1"/>
  <c r="P26" i="1"/>
  <c r="L26" i="1"/>
  <c r="L27" i="1" s="1"/>
  <c r="I26" i="1"/>
  <c r="D26" i="1"/>
  <c r="E26" i="1" s="1"/>
  <c r="F26" i="1" s="1"/>
  <c r="G26" i="1" s="1"/>
  <c r="J26" i="1" s="1"/>
  <c r="K26" i="1" s="1"/>
  <c r="S25" i="1"/>
  <c r="Q25" i="1"/>
  <c r="M25" i="1"/>
  <c r="D25" i="1"/>
  <c r="E25" i="1" s="1"/>
  <c r="F25" i="1" s="1"/>
  <c r="G25" i="1" s="1"/>
  <c r="S24" i="1"/>
  <c r="Q24" i="1"/>
  <c r="M24" i="1"/>
  <c r="D24" i="1"/>
  <c r="E24" i="1" s="1"/>
  <c r="F24" i="1" s="1"/>
  <c r="G24" i="1" s="1"/>
  <c r="S23" i="1"/>
  <c r="Q23" i="1"/>
  <c r="M23" i="1"/>
  <c r="D23" i="1"/>
  <c r="E23" i="1" s="1"/>
  <c r="F23" i="1" s="1"/>
  <c r="G23" i="1" s="1"/>
  <c r="R22" i="1"/>
  <c r="P22" i="1"/>
  <c r="L22" i="1"/>
  <c r="I22" i="1"/>
  <c r="M22" i="1" s="1"/>
  <c r="D22" i="1"/>
  <c r="E22" i="1" s="1"/>
  <c r="F22" i="1" s="1"/>
  <c r="G22" i="1" s="1"/>
  <c r="S21" i="1"/>
  <c r="Q21" i="1"/>
  <c r="P21" i="1"/>
  <c r="M21" i="1"/>
  <c r="D21" i="1"/>
  <c r="E21" i="1" s="1"/>
  <c r="F21" i="1" s="1"/>
  <c r="G21" i="1" s="1"/>
  <c r="S20" i="1"/>
  <c r="P20" i="1"/>
  <c r="Q20" i="1" s="1"/>
  <c r="M20" i="1"/>
  <c r="D20" i="1"/>
  <c r="E20" i="1" s="1"/>
  <c r="F20" i="1" s="1"/>
  <c r="G20" i="1" s="1"/>
  <c r="S19" i="1"/>
  <c r="P19" i="1"/>
  <c r="Q19" i="1" s="1"/>
  <c r="M19" i="1"/>
  <c r="D19" i="1"/>
  <c r="E19" i="1" s="1"/>
  <c r="F19" i="1" s="1"/>
  <c r="G19" i="1" s="1"/>
  <c r="D18" i="1"/>
  <c r="E18" i="1" s="1"/>
  <c r="F18" i="1" s="1"/>
  <c r="G18" i="1" s="1"/>
  <c r="R17" i="1"/>
  <c r="R18" i="1" s="1"/>
  <c r="P17" i="1"/>
  <c r="L17" i="1"/>
  <c r="Q17" i="1" s="1"/>
  <c r="I17" i="1"/>
  <c r="D17" i="1"/>
  <c r="E17" i="1" s="1"/>
  <c r="F17" i="1" s="1"/>
  <c r="G17" i="1" s="1"/>
  <c r="S16" i="1"/>
  <c r="Q16" i="1"/>
  <c r="M16" i="1"/>
  <c r="D16" i="1"/>
  <c r="E16" i="1" s="1"/>
  <c r="F16" i="1" s="1"/>
  <c r="G16" i="1" s="1"/>
  <c r="S15" i="1"/>
  <c r="Q15" i="1"/>
  <c r="M15" i="1"/>
  <c r="D15" i="1"/>
  <c r="E15" i="1" s="1"/>
  <c r="F15" i="1" s="1"/>
  <c r="G15" i="1" s="1"/>
  <c r="S14" i="1"/>
  <c r="Q14" i="1"/>
  <c r="M14" i="1"/>
  <c r="D14" i="1"/>
  <c r="E14" i="1" s="1"/>
  <c r="F14" i="1" s="1"/>
  <c r="G14" i="1" s="1"/>
  <c r="H14" i="1" s="1"/>
  <c r="R13" i="1"/>
  <c r="P13" i="1"/>
  <c r="L13" i="1"/>
  <c r="I13" i="1"/>
  <c r="D13" i="1"/>
  <c r="E13" i="1" s="1"/>
  <c r="F13" i="1" s="1"/>
  <c r="G13" i="1" s="1"/>
  <c r="S12" i="1"/>
  <c r="Q12" i="1"/>
  <c r="M12" i="1"/>
  <c r="D12" i="1"/>
  <c r="E12" i="1" s="1"/>
  <c r="F12" i="1" s="1"/>
  <c r="G12" i="1" s="1"/>
  <c r="H12" i="1" s="1"/>
  <c r="S11" i="1"/>
  <c r="Q11" i="1"/>
  <c r="M11" i="1"/>
  <c r="D11" i="1"/>
  <c r="E11" i="1" s="1"/>
  <c r="F11" i="1" s="1"/>
  <c r="G11" i="1" s="1"/>
  <c r="S10" i="1"/>
  <c r="Q10" i="1"/>
  <c r="M10" i="1"/>
  <c r="D10" i="1"/>
  <c r="E10" i="1" s="1"/>
  <c r="F10" i="1" s="1"/>
  <c r="O22" i="2" l="1"/>
  <c r="Q20" i="2"/>
  <c r="Q21" i="2"/>
  <c r="Q19" i="2"/>
  <c r="G21" i="2"/>
  <c r="D15" i="2"/>
  <c r="Q15" i="2"/>
  <c r="D20" i="2"/>
  <c r="L22" i="2"/>
  <c r="D21" i="2"/>
  <c r="H21" i="2"/>
  <c r="N21" i="2"/>
  <c r="M22" i="2"/>
  <c r="N20" i="2"/>
  <c r="H20" i="2"/>
  <c r="F22" i="2"/>
  <c r="G20" i="2"/>
  <c r="D19" i="2"/>
  <c r="H19" i="2"/>
  <c r="N19" i="2"/>
  <c r="D18" i="2"/>
  <c r="H18" i="2"/>
  <c r="S13" i="1"/>
  <c r="S17" i="1"/>
  <c r="I29" i="1"/>
  <c r="P27" i="1"/>
  <c r="Q27" i="1" s="1"/>
  <c r="R27" i="1"/>
  <c r="R29" i="1" s="1"/>
  <c r="L18" i="1"/>
  <c r="L29" i="1" s="1"/>
  <c r="M17" i="1"/>
  <c r="Q22" i="1"/>
  <c r="P22" i="2"/>
  <c r="N18" i="2"/>
  <c r="G15" i="2"/>
  <c r="G18" i="2"/>
  <c r="C22" i="2"/>
  <c r="B22" i="2"/>
  <c r="E22" i="2"/>
  <c r="J11" i="1"/>
  <c r="K11" i="1" s="1"/>
  <c r="H11" i="1"/>
  <c r="J22" i="1"/>
  <c r="K22" i="1" s="1"/>
  <c r="H22" i="1"/>
  <c r="J29" i="1"/>
  <c r="K29" i="1" s="1"/>
  <c r="J17" i="1"/>
  <c r="K17" i="1" s="1"/>
  <c r="H17" i="1"/>
  <c r="J25" i="1"/>
  <c r="K25" i="1" s="1"/>
  <c r="H25" i="1"/>
  <c r="H18" i="1"/>
  <c r="J18" i="1"/>
  <c r="K18" i="1" s="1"/>
  <c r="J16" i="1"/>
  <c r="K16" i="1" s="1"/>
  <c r="H16" i="1"/>
  <c r="J24" i="1"/>
  <c r="K24" i="1" s="1"/>
  <c r="H24" i="1"/>
  <c r="J27" i="1"/>
  <c r="K27" i="1" s="1"/>
  <c r="H27" i="1"/>
  <c r="H26" i="1"/>
  <c r="S26" i="1"/>
  <c r="M26" i="1"/>
  <c r="I27" i="1"/>
  <c r="H20" i="1"/>
  <c r="J20" i="1"/>
  <c r="K20" i="1" s="1"/>
  <c r="P29" i="1"/>
  <c r="Q29" i="1" s="1"/>
  <c r="J14" i="1"/>
  <c r="K14" i="1" s="1"/>
  <c r="S22" i="1"/>
  <c r="J21" i="1"/>
  <c r="K21" i="1" s="1"/>
  <c r="H21" i="1"/>
  <c r="H23" i="1"/>
  <c r="J23" i="1"/>
  <c r="K23" i="1" s="1"/>
  <c r="J13" i="1"/>
  <c r="K13" i="1" s="1"/>
  <c r="H13" i="1"/>
  <c r="M13" i="1"/>
  <c r="P18" i="1"/>
  <c r="Q13" i="1"/>
  <c r="J12" i="1"/>
  <c r="K12" i="1" s="1"/>
  <c r="Q18" i="1"/>
  <c r="J15" i="1"/>
  <c r="K15" i="1" s="1"/>
  <c r="H15" i="1"/>
  <c r="J19" i="1"/>
  <c r="K19" i="1" s="1"/>
  <c r="H19" i="1"/>
  <c r="Q26" i="1"/>
  <c r="I18" i="1"/>
  <c r="Q22" i="2" l="1"/>
  <c r="N22" i="2"/>
  <c r="G22" i="2"/>
  <c r="D22" i="2"/>
  <c r="S27" i="1"/>
  <c r="M27" i="1"/>
  <c r="S18" i="1"/>
  <c r="M18" i="1"/>
  <c r="S29" i="1" l="1"/>
  <c r="M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<sst xmlns="http://schemas.openxmlformats.org/spreadsheetml/2006/main" count="228" uniqueCount="92">
  <si>
    <t>MQL Targets</t>
  </si>
  <si>
    <t>Actuals</t>
  </si>
  <si>
    <t>%</t>
  </si>
  <si>
    <t>SQL Targets</t>
  </si>
  <si>
    <t>MQL -&gt; SQL conversion rate</t>
  </si>
  <si>
    <t>Rolling conversion rate</t>
  </si>
  <si>
    <t>ASP Target</t>
  </si>
  <si>
    <t>ASP Actual</t>
  </si>
  <si>
    <t>Marketing Pipeline target</t>
  </si>
  <si>
    <t>Marketing Pipeline created (FYV)</t>
  </si>
  <si>
    <t>Target</t>
  </si>
  <si>
    <t>Marketing Sales Target</t>
  </si>
  <si>
    <t>Marketing Sales actual</t>
  </si>
  <si>
    <t>January</t>
  </si>
  <si>
    <t>February</t>
  </si>
  <si>
    <t>March</t>
  </si>
  <si>
    <t>-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</si>
  <si>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</si>
  <si>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</si>
  <si>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</si>
  <si>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</si>
  <si>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</si>
  <si>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</si>
  <si>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</si>
  <si>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</si>
  <si>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</si>
  <si>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</si>
  <si>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ASP %</t>
  </si>
  <si>
    <t>Q1</t>
  </si>
  <si>
    <t>Q2</t>
  </si>
  <si>
    <t>Q3</t>
  </si>
  <si>
    <t>Q4</t>
  </si>
  <si>
    <t>un</t>
  </si>
  <si>
    <t>MQL Actuals</t>
  </si>
  <si>
    <t>SQL Actuals</t>
  </si>
  <si>
    <t>Opportunity created (FYV)</t>
  </si>
  <si>
    <t>Pipeline spilt 2025</t>
  </si>
  <si>
    <t>Pipeline spilt 2026</t>
  </si>
  <si>
    <t>Bookings split</t>
  </si>
  <si>
    <t>Marketing Bookings</t>
  </si>
  <si>
    <t>Pipeline gen</t>
  </si>
  <si>
    <t>Marketing Pipeline gen</t>
  </si>
  <si>
    <t>2026 ASP</t>
  </si>
  <si>
    <t>2026 Conversion rate</t>
  </si>
  <si>
    <t>SQLs</t>
  </si>
  <si>
    <t>MQLS</t>
  </si>
  <si>
    <t>MQL 2023</t>
  </si>
  <si>
    <t>MQL 2024</t>
  </si>
  <si>
    <t>MQL 2025</t>
  </si>
  <si>
    <t>MQL 2026</t>
  </si>
  <si>
    <t>Opportunity target</t>
  </si>
  <si>
    <t>Spring</t>
  </si>
  <si>
    <t>Summer</t>
  </si>
  <si>
    <t>Autumn</t>
  </si>
  <si>
    <t>Metrics</t>
  </si>
  <si>
    <t>Marketing bookings</t>
  </si>
  <si>
    <t>30% of stretch</t>
  </si>
  <si>
    <t>Opportunity</t>
  </si>
  <si>
    <t>50% win rate</t>
  </si>
  <si>
    <t>SQL value</t>
  </si>
  <si>
    <t>125% of opp</t>
  </si>
  <si>
    <t>Sales Bookings Budget (FYV)</t>
  </si>
  <si>
    <t>Sales Bookings Stretch (FYV)</t>
  </si>
  <si>
    <t>SQL Value</t>
  </si>
  <si>
    <t>Seasonality</t>
  </si>
  <si>
    <t>Unqualified pipeline</t>
  </si>
  <si>
    <t>MQLs</t>
  </si>
  <si>
    <t>Target conversion rate</t>
  </si>
  <si>
    <t>ASP</t>
  </si>
  <si>
    <t>24 MQLs</t>
  </si>
  <si>
    <t>Change</t>
  </si>
  <si>
    <t>2024 SQLs</t>
  </si>
  <si>
    <t>FORECAST</t>
  </si>
  <si>
    <t>Jan</t>
  </si>
  <si>
    <t>Feb</t>
  </si>
  <si>
    <t>Mar</t>
  </si>
  <si>
    <t>Apr</t>
  </si>
  <si>
    <t>Jun</t>
  </si>
  <si>
    <t>H1</t>
  </si>
  <si>
    <t>Jul</t>
  </si>
  <si>
    <t>Aug</t>
  </si>
  <si>
    <t>Sep</t>
  </si>
  <si>
    <t>Oct</t>
  </si>
  <si>
    <t>Nov</t>
  </si>
  <si>
    <t>Dec</t>
  </si>
  <si>
    <t>H2</t>
  </si>
  <si>
    <t>FY 25</t>
  </si>
  <si>
    <t>Target pipeline</t>
  </si>
  <si>
    <t>Actual Pipeline</t>
  </si>
  <si>
    <t>YoY %</t>
  </si>
  <si>
    <t>Pipeline actual 2025</t>
  </si>
  <si>
    <t>Pipeline target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</si>
</sst>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;[Red]\-&quot;£&quot;#,##0"/>
    <numFmt numFmtId="165" formatCode="&quot;£&quot;#,##0"/>
    <numFmt numFmtId="166" formatCode="_-[$£-809]* #,##0_-;\-[$£-809]* #,##0_-;_-[$£-809]* &quot;-&quot;??_-;_-@_-"/>
    <numFmt numFmtId="167" formatCode="&quot;£&quot;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9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name val="Aptos"/>
      <family val="2"/>
    </font>
    <font>
      <b/>
      <sz val="12"/>
      <color rgb="FFFFFFFF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AAAB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EDF0F3"/>
      </left>
      <right style="thick">
        <color rgb="FFEDF0F3"/>
      </right>
      <top style="thick">
        <color rgb="FFEDF0F3"/>
      </top>
      <bottom style="thick">
        <color rgb="FFEDF0F3"/>
      </bottom>
      <diagonal/>
    </border>
    <border>
      <left style="thick">
        <color rgb="FFEDF0F3"/>
      </left>
      <right/>
      <top style="thick">
        <color rgb="FFEDF0F3"/>
      </top>
      <bottom style="thick">
        <color rgb="FFEDF0F3"/>
      </bottom>
      <diagonal/>
    </border>
    <border>
      <left/>
      <right style="thick">
        <color rgb="FFEDF0F3"/>
      </right>
      <top style="thick">
        <color rgb="FFEDF0F3"/>
      </top>
      <bottom style="thick">
        <color rgb="FFEDF0F3"/>
      </bottom>
      <diagonal/>
    </border>
    <border>
      <left style="medium">
        <color indexed="64"/>
      </left>
      <right style="thick">
        <color rgb="FFEDF0F3"/>
      </right>
      <top style="medium">
        <color indexed="64"/>
      </top>
      <bottom style="thick">
        <color rgb="FFEDF0F3"/>
      </bottom>
      <diagonal/>
    </border>
    <border>
      <left style="thick">
        <color rgb="FFEDF0F3"/>
      </left>
      <right style="thick">
        <color rgb="FFEDF0F3"/>
      </right>
      <top style="medium">
        <color indexed="64"/>
      </top>
      <bottom style="thick">
        <color rgb="FFEDF0F3"/>
      </bottom>
      <diagonal/>
    </border>
    <border>
      <left style="medium">
        <color indexed="64"/>
      </left>
      <right style="thick">
        <color rgb="FFEDF0F3"/>
      </right>
      <top style="thick">
        <color rgb="FFEDF0F3"/>
      </top>
      <bottom style="thick">
        <color rgb="FFEDF0F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EDF0F3"/>
      </left>
      <right style="thick">
        <color rgb="FFEDF0F3"/>
      </right>
      <top style="thick">
        <color rgb="FFEDF0F3"/>
      </top>
      <bottom/>
      <diagonal/>
    </border>
    <border>
      <left style="thick">
        <color rgb="FFEDF0F3"/>
      </left>
      <right/>
      <top style="thick">
        <color rgb="FFEDF0F3"/>
      </top>
      <bottom/>
      <diagonal/>
    </border>
    <border>
      <left style="thick">
        <color rgb="FFEDF0F3"/>
      </left>
      <right style="thick">
        <color rgb="FFEDF0F3"/>
      </right>
      <top/>
      <bottom style="thick">
        <color rgb="FFEDF0F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rgb="FFEDF0F3"/>
      </right>
      <top style="thick">
        <color rgb="FFEDF0F3"/>
      </top>
      <bottom style="medium">
        <color indexed="64"/>
      </bottom>
      <diagonal/>
    </border>
    <border>
      <left style="thick">
        <color rgb="FFEDF0F3"/>
      </left>
      <right style="thick">
        <color rgb="FFEDF0F3"/>
      </right>
      <top style="thick">
        <color rgb="FFEDF0F3"/>
      </top>
      <bottom style="medium">
        <color indexed="64"/>
      </bottom>
      <diagonal/>
    </border>
    <border>
      <left style="medium">
        <color indexed="64"/>
      </left>
      <right style="thick">
        <color rgb="FFEDF0F3"/>
      </right>
      <top/>
      <bottom style="thick">
        <color rgb="FFEDF0F3"/>
      </bottom>
      <diagonal/>
    </border>
    <border>
      <left style="thick">
        <color rgb="FFEDF0F3"/>
      </left>
      <right style="thick">
        <color rgb="FFEDF0F3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rgb="FFEDF0F3"/>
      </left>
      <right style="thick">
        <color rgb="FFEDF0F3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EDF0F3"/>
      </bottom>
      <diagonal/>
    </border>
    <border>
      <left style="medium">
        <color indexed="64"/>
      </left>
      <right style="thick">
        <color rgb="FFEDF0F3"/>
      </right>
      <top style="thick">
        <color rgb="FFEDF0F3"/>
      </top>
      <bottom/>
      <diagonal/>
    </border>
    <border>
      <left style="thick">
        <color rgb="FFEDF0F3"/>
      </left>
      <right style="medium">
        <color indexed="64"/>
      </right>
      <top style="thick">
        <color rgb="FFEDF0F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EDF0F3"/>
      </bottom>
      <diagonal/>
    </border>
    <border>
      <left style="medium">
        <color indexed="64"/>
      </left>
      <right/>
      <top style="thick">
        <color rgb="FFEDF0F3"/>
      </top>
      <bottom style="thick">
        <color rgb="FFEDF0F3"/>
      </bottom>
      <diagonal/>
    </border>
    <border>
      <left style="medium">
        <color indexed="64"/>
      </left>
      <right/>
      <top style="thick">
        <color rgb="FFEDF0F3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rgb="FFEDF0F3"/>
      </bottom>
      <diagonal/>
    </border>
    <border>
      <left style="medium">
        <color indexed="64"/>
      </left>
      <right/>
      <top style="thick">
        <color rgb="FFEDF0F3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rgb="FFEDF0F3"/>
      </bottom>
      <diagonal/>
    </border>
    <border>
      <left style="thick">
        <color rgb="FFEDF0F3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0" applyFont="1"/>
    <xf numFmtId="165" fontId="0" fillId="0" borderId="0" xfId="0" applyNumberFormat="1"/>
    <xf numFmtId="9" fontId="0" fillId="0" borderId="0" xfId="1" applyFont="1"/>
    <xf numFmtId="0" fontId="3" fillId="0" borderId="0" xfId="0" applyFont="1"/>
    <xf numFmtId="9" fontId="0" fillId="0" borderId="0" xfId="0" applyNumberFormat="1"/>
    <xf numFmtId="0" fontId="5" fillId="3" borderId="2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/>
    <xf numFmtId="164" fontId="7" fillId="2" borderId="2" xfId="0" applyNumberFormat="1" applyFont="1" applyFill="1" applyBorder="1" applyAlignment="1">
      <alignment horizontal="right"/>
    </xf>
    <xf numFmtId="1" fontId="7" fillId="2" borderId="2" xfId="0" applyNumberFormat="1" applyFont="1" applyFill="1" applyBorder="1" applyAlignment="1">
      <alignment horizontal="right"/>
    </xf>
    <xf numFmtId="9" fontId="0" fillId="0" borderId="2" xfId="0" applyNumberFormat="1" applyBorder="1"/>
    <xf numFmtId="9" fontId="8" fillId="0" borderId="2" xfId="1" applyFont="1" applyBorder="1"/>
    <xf numFmtId="9" fontId="9" fillId="0" borderId="2" xfId="1" applyFont="1" applyBorder="1"/>
    <xf numFmtId="0" fontId="6" fillId="4" borderId="4" xfId="0" applyFont="1" applyFill="1" applyBorder="1"/>
    <xf numFmtId="164" fontId="7" fillId="4" borderId="2" xfId="0" applyNumberFormat="1" applyFont="1" applyFill="1" applyBorder="1" applyAlignment="1">
      <alignment horizontal="right"/>
    </xf>
    <xf numFmtId="1" fontId="7" fillId="4" borderId="2" xfId="0" applyNumberFormat="1" applyFont="1" applyFill="1" applyBorder="1" applyAlignment="1">
      <alignment horizontal="right"/>
    </xf>
    <xf numFmtId="9" fontId="7" fillId="4" borderId="2" xfId="0" applyNumberFormat="1" applyFont="1" applyFill="1" applyBorder="1" applyAlignment="1">
      <alignment horizontal="right"/>
    </xf>
    <xf numFmtId="0" fontId="7" fillId="2" borderId="0" xfId="0" applyFont="1" applyFill="1"/>
    <xf numFmtId="1" fontId="7" fillId="2" borderId="0" xfId="0" applyNumberFormat="1" applyFont="1" applyFill="1"/>
    <xf numFmtId="1" fontId="7" fillId="2" borderId="0" xfId="0" applyNumberFormat="1" applyFont="1" applyFill="1" applyAlignment="1">
      <alignment horizontal="right"/>
    </xf>
    <xf numFmtId="9" fontId="0" fillId="0" borderId="2" xfId="1" applyFont="1" applyBorder="1"/>
    <xf numFmtId="0" fontId="6" fillId="2" borderId="0" xfId="0" applyFont="1" applyFill="1"/>
    <xf numFmtId="0" fontId="6" fillId="3" borderId="2" xfId="0" applyFont="1" applyFill="1" applyBorder="1"/>
    <xf numFmtId="164" fontId="6" fillId="3" borderId="2" xfId="0" applyNumberFormat="1" applyFont="1" applyFill="1" applyBorder="1"/>
    <xf numFmtId="1" fontId="6" fillId="3" borderId="2" xfId="0" applyNumberFormat="1" applyFont="1" applyFill="1" applyBorder="1"/>
    <xf numFmtId="1" fontId="6" fillId="3" borderId="2" xfId="0" applyNumberFormat="1" applyFont="1" applyFill="1" applyBorder="1" applyAlignment="1">
      <alignment horizontal="right"/>
    </xf>
    <xf numFmtId="9" fontId="6" fillId="3" borderId="2" xfId="0" applyNumberFormat="1" applyFont="1" applyFill="1" applyBorder="1" applyAlignment="1">
      <alignment horizontal="right"/>
    </xf>
    <xf numFmtId="0" fontId="10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 readingOrder="1"/>
    </xf>
    <xf numFmtId="0" fontId="12" fillId="6" borderId="6" xfId="0" applyFont="1" applyFill="1" applyBorder="1" applyAlignment="1">
      <alignment horizontal="center" vertical="center" wrapText="1" readingOrder="1"/>
    </xf>
    <xf numFmtId="0" fontId="13" fillId="6" borderId="6" xfId="0" applyFont="1" applyFill="1" applyBorder="1" applyAlignment="1">
      <alignment horizontal="center" vertical="center" wrapText="1" readingOrder="1"/>
    </xf>
    <xf numFmtId="166" fontId="12" fillId="6" borderId="6" xfId="0" applyNumberFormat="1" applyFont="1" applyFill="1" applyBorder="1" applyAlignment="1">
      <alignment horizontal="center" vertical="center" wrapText="1" readingOrder="1"/>
    </xf>
    <xf numFmtId="0" fontId="15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 readingOrder="1"/>
    </xf>
    <xf numFmtId="0" fontId="14" fillId="7" borderId="0" xfId="0" applyFont="1" applyFill="1" applyAlignment="1">
      <alignment horizontal="center"/>
    </xf>
    <xf numFmtId="1" fontId="14" fillId="7" borderId="0" xfId="0" applyNumberFormat="1" applyFont="1" applyFill="1" applyAlignment="1">
      <alignment horizontal="center"/>
    </xf>
    <xf numFmtId="9" fontId="14" fillId="7" borderId="0" xfId="1" applyFont="1" applyFill="1" applyAlignment="1">
      <alignment horizontal="center"/>
    </xf>
    <xf numFmtId="0" fontId="11" fillId="5" borderId="6" xfId="0" applyFont="1" applyFill="1" applyBorder="1" applyAlignment="1">
      <alignment horizontal="center" vertical="center" wrapText="1" readingOrder="1"/>
    </xf>
    <xf numFmtId="9" fontId="14" fillId="7" borderId="0" xfId="0" applyNumberFormat="1" applyFont="1" applyFill="1" applyAlignment="1">
      <alignment horizontal="center"/>
    </xf>
    <xf numFmtId="166" fontId="14" fillId="7" borderId="0" xfId="0" applyNumberFormat="1" applyFont="1" applyFill="1" applyAlignment="1">
      <alignment horizontal="center"/>
    </xf>
    <xf numFmtId="9" fontId="13" fillId="8" borderId="8" xfId="0" applyNumberFormat="1" applyFont="1" applyFill="1" applyBorder="1" applyAlignment="1">
      <alignment horizontal="center" vertical="center" wrapText="1" readingOrder="1"/>
    </xf>
    <xf numFmtId="9" fontId="13" fillId="8" borderId="6" xfId="0" applyNumberFormat="1" applyFont="1" applyFill="1" applyBorder="1" applyAlignment="1">
      <alignment horizontal="center" vertical="center" wrapText="1" readingOrder="1"/>
    </xf>
    <xf numFmtId="166" fontId="13" fillId="8" borderId="6" xfId="0" applyNumberFormat="1" applyFont="1" applyFill="1" applyBorder="1" applyAlignment="1">
      <alignment horizontal="center" vertical="center" wrapText="1" readingOrder="1"/>
    </xf>
    <xf numFmtId="0" fontId="5" fillId="11" borderId="2" xfId="0" applyFont="1" applyFill="1" applyBorder="1" applyAlignment="1">
      <alignment horizontal="center" vertical="center" wrapText="1"/>
    </xf>
    <xf numFmtId="1" fontId="5" fillId="11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/>
    <xf numFmtId="165" fontId="7" fillId="4" borderId="2" xfId="0" applyNumberFormat="1" applyFont="1" applyFill="1" applyBorder="1" applyAlignment="1">
      <alignment horizontal="right"/>
    </xf>
    <xf numFmtId="0" fontId="11" fillId="5" borderId="10" xfId="0" applyFont="1" applyFill="1" applyBorder="1" applyAlignment="1">
      <alignment horizontal="center" vertical="center" wrapText="1" readingOrder="1"/>
    </xf>
    <xf numFmtId="0" fontId="12" fillId="6" borderId="11" xfId="0" applyFont="1" applyFill="1" applyBorder="1" applyAlignment="1">
      <alignment horizontal="center" vertical="center" wrapText="1" readingOrder="1"/>
    </xf>
    <xf numFmtId="166" fontId="13" fillId="9" borderId="6" xfId="0" applyNumberFormat="1" applyFont="1" applyFill="1" applyBorder="1" applyAlignment="1">
      <alignment horizontal="center" vertical="center" wrapText="1" readingOrder="1"/>
    </xf>
    <xf numFmtId="1" fontId="14" fillId="7" borderId="13" xfId="0" applyNumberFormat="1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1" fontId="0" fillId="0" borderId="0" xfId="0" applyNumberFormat="1"/>
    <xf numFmtId="0" fontId="10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 readingOrder="1"/>
    </xf>
    <xf numFmtId="165" fontId="2" fillId="0" borderId="0" xfId="0" applyNumberFormat="1" applyFont="1"/>
    <xf numFmtId="0" fontId="12" fillId="6" borderId="9" xfId="0" applyFont="1" applyFill="1" applyBorder="1" applyAlignment="1">
      <alignment horizontal="center" vertical="center" wrapText="1" readingOrder="1"/>
    </xf>
    <xf numFmtId="165" fontId="2" fillId="0" borderId="19" xfId="0" applyNumberFormat="1" applyFont="1" applyBorder="1"/>
    <xf numFmtId="0" fontId="12" fillId="6" borderId="20" xfId="0" applyFont="1" applyFill="1" applyBorder="1" applyAlignment="1">
      <alignment horizontal="center" vertical="center" wrapText="1" readingOrder="1"/>
    </xf>
    <xf numFmtId="165" fontId="2" fillId="0" borderId="14" xfId="0" applyNumberFormat="1" applyFont="1" applyBorder="1"/>
    <xf numFmtId="166" fontId="12" fillId="7" borderId="18" xfId="0" applyNumberFormat="1" applyFont="1" applyFill="1" applyBorder="1" applyAlignment="1">
      <alignment horizontal="center" vertical="center" wrapText="1" readingOrder="1"/>
    </xf>
    <xf numFmtId="9" fontId="13" fillId="9" borderId="21" xfId="0" applyNumberFormat="1" applyFont="1" applyFill="1" applyBorder="1" applyAlignment="1">
      <alignment horizontal="center" vertical="center" wrapText="1" readingOrder="1"/>
    </xf>
    <xf numFmtId="9" fontId="13" fillId="10" borderId="21" xfId="0" applyNumberFormat="1" applyFont="1" applyFill="1" applyBorder="1" applyAlignment="1">
      <alignment horizontal="center" vertical="center" wrapText="1" readingOrder="1"/>
    </xf>
    <xf numFmtId="0" fontId="12" fillId="6" borderId="22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166" fontId="13" fillId="9" borderId="21" xfId="0" applyNumberFormat="1" applyFont="1" applyFill="1" applyBorder="1" applyAlignment="1">
      <alignment horizontal="center" vertical="center" wrapText="1" readingOrder="1"/>
    </xf>
    <xf numFmtId="166" fontId="13" fillId="9" borderId="23" xfId="0" applyNumberFormat="1" applyFont="1" applyFill="1" applyBorder="1" applyAlignment="1">
      <alignment horizontal="center" vertical="center" wrapText="1" readingOrder="1"/>
    </xf>
    <xf numFmtId="9" fontId="13" fillId="10" borderId="26" xfId="0" applyNumberFormat="1" applyFont="1" applyFill="1" applyBorder="1" applyAlignment="1">
      <alignment horizontal="center" vertical="center" wrapText="1" readingOrder="1"/>
    </xf>
    <xf numFmtId="166" fontId="13" fillId="10" borderId="26" xfId="0" applyNumberFormat="1" applyFont="1" applyFill="1" applyBorder="1" applyAlignment="1">
      <alignment horizontal="center" vertical="center" wrapText="1" readingOrder="1"/>
    </xf>
    <xf numFmtId="9" fontId="0" fillId="10" borderId="0" xfId="0" applyNumberFormat="1" applyFill="1"/>
    <xf numFmtId="0" fontId="0" fillId="10" borderId="0" xfId="0" applyFill="1"/>
    <xf numFmtId="0" fontId="15" fillId="10" borderId="10" xfId="0" applyFont="1" applyFill="1" applyBorder="1" applyAlignment="1">
      <alignment horizontal="center" vertical="center" wrapText="1" readingOrder="1"/>
    </xf>
    <xf numFmtId="165" fontId="2" fillId="10" borderId="19" xfId="0" applyNumberFormat="1" applyFont="1" applyFill="1" applyBorder="1"/>
    <xf numFmtId="0" fontId="13" fillId="10" borderId="21" xfId="0" applyFont="1" applyFill="1" applyBorder="1" applyAlignment="1">
      <alignment horizontal="center" vertical="center" wrapText="1" readingOrder="1"/>
    </xf>
    <xf numFmtId="166" fontId="13" fillId="10" borderId="21" xfId="0" applyNumberFormat="1" applyFont="1" applyFill="1" applyBorder="1" applyAlignment="1">
      <alignment horizontal="center" vertical="center" wrapText="1" readingOrder="1"/>
    </xf>
    <xf numFmtId="165" fontId="2" fillId="10" borderId="14" xfId="0" applyNumberFormat="1" applyFont="1" applyFill="1" applyBorder="1"/>
    <xf numFmtId="0" fontId="13" fillId="9" borderId="18" xfId="0" applyFont="1" applyFill="1" applyBorder="1" applyAlignment="1">
      <alignment horizontal="center" vertical="center" wrapText="1" readingOrder="1"/>
    </xf>
    <xf numFmtId="9" fontId="13" fillId="9" borderId="10" xfId="0" applyNumberFormat="1" applyFont="1" applyFill="1" applyBorder="1" applyAlignment="1">
      <alignment horizontal="center" vertical="center" wrapText="1" readingOrder="1"/>
    </xf>
    <xf numFmtId="9" fontId="0" fillId="9" borderId="0" xfId="0" applyNumberFormat="1" applyFill="1"/>
    <xf numFmtId="0" fontId="0" fillId="9" borderId="0" xfId="0" applyFill="1"/>
    <xf numFmtId="0" fontId="15" fillId="9" borderId="6" xfId="0" applyFont="1" applyFill="1" applyBorder="1" applyAlignment="1">
      <alignment horizontal="center" vertical="center" wrapText="1" readingOrder="1"/>
    </xf>
    <xf numFmtId="0" fontId="13" fillId="9" borderId="21" xfId="0" applyFont="1" applyFill="1" applyBorder="1" applyAlignment="1">
      <alignment horizontal="center" vertical="center" wrapText="1" readingOrder="1"/>
    </xf>
    <xf numFmtId="165" fontId="2" fillId="9" borderId="14" xfId="0" applyNumberFormat="1" applyFont="1" applyFill="1" applyBorder="1"/>
    <xf numFmtId="0" fontId="13" fillId="12" borderId="10" xfId="0" applyFont="1" applyFill="1" applyBorder="1" applyAlignment="1">
      <alignment horizontal="center" vertical="center" wrapText="1" readingOrder="1"/>
    </xf>
    <xf numFmtId="9" fontId="13" fillId="12" borderId="10" xfId="0" applyNumberFormat="1" applyFont="1" applyFill="1" applyBorder="1" applyAlignment="1">
      <alignment horizontal="center" vertical="center" wrapText="1" readingOrder="1"/>
    </xf>
    <xf numFmtId="166" fontId="13" fillId="12" borderId="10" xfId="0" applyNumberFormat="1" applyFont="1" applyFill="1" applyBorder="1" applyAlignment="1">
      <alignment horizontal="center" vertical="center" wrapText="1" readingOrder="1"/>
    </xf>
    <xf numFmtId="165" fontId="2" fillId="12" borderId="19" xfId="0" applyNumberFormat="1" applyFont="1" applyFill="1" applyBorder="1"/>
    <xf numFmtId="9" fontId="0" fillId="12" borderId="0" xfId="0" applyNumberFormat="1" applyFill="1"/>
    <xf numFmtId="0" fontId="0" fillId="12" borderId="0" xfId="0" applyFill="1"/>
    <xf numFmtId="9" fontId="13" fillId="12" borderId="16" xfId="0" applyNumberFormat="1" applyFont="1" applyFill="1" applyBorder="1" applyAlignment="1">
      <alignment horizontal="center" vertical="center" wrapText="1" readingOrder="1"/>
    </xf>
    <xf numFmtId="0" fontId="13" fillId="12" borderId="16" xfId="0" applyFont="1" applyFill="1" applyBorder="1" applyAlignment="1">
      <alignment horizontal="center" vertical="center" wrapText="1" readingOrder="1"/>
    </xf>
    <xf numFmtId="166" fontId="13" fillId="12" borderId="16" xfId="0" applyNumberFormat="1" applyFont="1" applyFill="1" applyBorder="1" applyAlignment="1">
      <alignment horizontal="center" vertical="center" wrapText="1" readingOrder="1"/>
    </xf>
    <xf numFmtId="0" fontId="15" fillId="12" borderId="18" xfId="0" applyFont="1" applyFill="1" applyBorder="1" applyAlignment="1">
      <alignment horizontal="center" vertical="center" wrapText="1" readingOrder="1"/>
    </xf>
    <xf numFmtId="9" fontId="13" fillId="12" borderId="23" xfId="0" applyNumberFormat="1" applyFont="1" applyFill="1" applyBorder="1" applyAlignment="1">
      <alignment horizontal="center" vertical="center" wrapText="1" readingOrder="1"/>
    </xf>
    <xf numFmtId="166" fontId="13" fillId="12" borderId="26" xfId="0" applyNumberFormat="1" applyFont="1" applyFill="1" applyBorder="1" applyAlignment="1">
      <alignment horizontal="center" vertical="center" wrapText="1" readingOrder="1"/>
    </xf>
    <xf numFmtId="0" fontId="11" fillId="5" borderId="0" xfId="0" applyFont="1" applyFill="1" applyAlignment="1">
      <alignment horizontal="center" vertical="center" wrapText="1" readingOrder="1"/>
    </xf>
    <xf numFmtId="165" fontId="2" fillId="12" borderId="0" xfId="0" applyNumberFormat="1" applyFont="1" applyFill="1"/>
    <xf numFmtId="165" fontId="2" fillId="9" borderId="0" xfId="0" applyNumberFormat="1" applyFont="1" applyFill="1"/>
    <xf numFmtId="0" fontId="11" fillId="5" borderId="12" xfId="0" applyFont="1" applyFill="1" applyBorder="1" applyAlignment="1">
      <alignment horizontal="center" vertical="center" wrapText="1" readingOrder="1"/>
    </xf>
    <xf numFmtId="0" fontId="11" fillId="5" borderId="25" xfId="0" applyFont="1" applyFill="1" applyBorder="1" applyAlignment="1">
      <alignment horizontal="center" vertical="center" wrapText="1" readingOrder="1"/>
    </xf>
    <xf numFmtId="0" fontId="0" fillId="12" borderId="12" xfId="0" applyFill="1" applyBorder="1"/>
    <xf numFmtId="165" fontId="0" fillId="12" borderId="0" xfId="0" applyNumberFormat="1" applyFill="1"/>
    <xf numFmtId="165" fontId="0" fillId="12" borderId="25" xfId="0" applyNumberFormat="1" applyFill="1" applyBorder="1"/>
    <xf numFmtId="0" fontId="0" fillId="0" borderId="12" xfId="0" applyBorder="1"/>
    <xf numFmtId="165" fontId="0" fillId="0" borderId="25" xfId="0" applyNumberFormat="1" applyBorder="1"/>
    <xf numFmtId="0" fontId="0" fillId="10" borderId="12" xfId="0" applyFill="1" applyBorder="1"/>
    <xf numFmtId="165" fontId="0" fillId="10" borderId="0" xfId="0" applyNumberFormat="1" applyFill="1"/>
    <xf numFmtId="165" fontId="0" fillId="10" borderId="25" xfId="0" applyNumberFormat="1" applyFill="1" applyBorder="1"/>
    <xf numFmtId="0" fontId="0" fillId="9" borderId="12" xfId="0" applyFill="1" applyBorder="1"/>
    <xf numFmtId="165" fontId="0" fillId="9" borderId="0" xfId="0" applyNumberFormat="1" applyFill="1"/>
    <xf numFmtId="165" fontId="0" fillId="9" borderId="25" xfId="0" applyNumberFormat="1" applyFill="1" applyBorder="1"/>
    <xf numFmtId="0" fontId="0" fillId="9" borderId="13" xfId="0" applyFill="1" applyBorder="1"/>
    <xf numFmtId="165" fontId="0" fillId="9" borderId="14" xfId="0" applyNumberFormat="1" applyFill="1" applyBorder="1"/>
    <xf numFmtId="165" fontId="0" fillId="9" borderId="15" xfId="0" applyNumberFormat="1" applyFill="1" applyBorder="1"/>
    <xf numFmtId="0" fontId="10" fillId="5" borderId="17" xfId="0" applyFont="1" applyFill="1" applyBorder="1" applyAlignment="1">
      <alignment horizontal="center" vertical="center" wrapText="1"/>
    </xf>
    <xf numFmtId="0" fontId="12" fillId="12" borderId="31" xfId="0" applyFont="1" applyFill="1" applyBorder="1" applyAlignment="1">
      <alignment horizontal="center" vertical="center" wrapText="1" readingOrder="1"/>
    </xf>
    <xf numFmtId="0" fontId="12" fillId="6" borderId="32" xfId="0" applyFont="1" applyFill="1" applyBorder="1" applyAlignment="1">
      <alignment horizontal="center" vertical="center" wrapText="1" readingOrder="1"/>
    </xf>
    <xf numFmtId="0" fontId="12" fillId="10" borderId="33" xfId="0" applyFont="1" applyFill="1" applyBorder="1" applyAlignment="1">
      <alignment horizontal="center" vertical="center" wrapText="1" readingOrder="1"/>
    </xf>
    <xf numFmtId="0" fontId="12" fillId="9" borderId="34" xfId="0" applyFont="1" applyFill="1" applyBorder="1" applyAlignment="1">
      <alignment horizontal="center" vertical="center" wrapText="1" readingOrder="1"/>
    </xf>
    <xf numFmtId="0" fontId="12" fillId="12" borderId="35" xfId="0" applyFont="1" applyFill="1" applyBorder="1" applyAlignment="1">
      <alignment horizontal="center" vertical="center" wrapText="1" readingOrder="1"/>
    </xf>
    <xf numFmtId="0" fontId="12" fillId="10" borderId="31" xfId="0" applyFont="1" applyFill="1" applyBorder="1" applyAlignment="1">
      <alignment horizontal="center" vertical="center" wrapText="1" readingOrder="1"/>
    </xf>
    <xf numFmtId="0" fontId="12" fillId="9" borderId="32" xfId="0" applyFont="1" applyFill="1" applyBorder="1" applyAlignment="1">
      <alignment horizontal="center" vertical="center" wrapText="1" readingOrder="1"/>
    </xf>
    <xf numFmtId="0" fontId="12" fillId="12" borderId="34" xfId="0" applyFont="1" applyFill="1" applyBorder="1" applyAlignment="1">
      <alignment horizontal="center" vertical="center" wrapText="1" readingOrder="1"/>
    </xf>
    <xf numFmtId="0" fontId="12" fillId="9" borderId="33" xfId="0" applyFont="1" applyFill="1" applyBorder="1" applyAlignment="1">
      <alignment horizontal="center" vertical="center" wrapText="1" readingOrder="1"/>
    </xf>
    <xf numFmtId="0" fontId="11" fillId="5" borderId="35" xfId="0" applyFont="1" applyFill="1" applyBorder="1" applyAlignment="1">
      <alignment horizontal="center" vertical="center" wrapText="1" readingOrder="1"/>
    </xf>
    <xf numFmtId="0" fontId="11" fillId="5" borderId="29" xfId="0" applyFont="1" applyFill="1" applyBorder="1" applyAlignment="1">
      <alignment horizontal="center" vertical="center" wrapText="1" readingOrder="1"/>
    </xf>
    <xf numFmtId="0" fontId="13" fillId="12" borderId="9" xfId="0" applyFont="1" applyFill="1" applyBorder="1" applyAlignment="1">
      <alignment horizontal="center" vertical="center" wrapText="1" readingOrder="1"/>
    </xf>
    <xf numFmtId="165" fontId="2" fillId="12" borderId="24" xfId="0" applyNumberFormat="1" applyFont="1" applyFill="1" applyBorder="1"/>
    <xf numFmtId="0" fontId="13" fillId="6" borderId="11" xfId="0" applyFont="1" applyFill="1" applyBorder="1" applyAlignment="1">
      <alignment horizontal="center" vertical="center" wrapText="1" readingOrder="1"/>
    </xf>
    <xf numFmtId="165" fontId="2" fillId="0" borderId="25" xfId="0" applyNumberFormat="1" applyFont="1" applyBorder="1"/>
    <xf numFmtId="0" fontId="13" fillId="10" borderId="20" xfId="0" applyFont="1" applyFill="1" applyBorder="1" applyAlignment="1">
      <alignment horizontal="center" vertical="center" wrapText="1" readingOrder="1"/>
    </xf>
    <xf numFmtId="165" fontId="2" fillId="10" borderId="15" xfId="0" applyNumberFormat="1" applyFont="1" applyFill="1" applyBorder="1"/>
    <xf numFmtId="0" fontId="15" fillId="9" borderId="22" xfId="0" applyFont="1" applyFill="1" applyBorder="1" applyAlignment="1">
      <alignment horizontal="center" vertical="center" wrapText="1"/>
    </xf>
    <xf numFmtId="165" fontId="2" fillId="9" borderId="25" xfId="0" applyNumberFormat="1" applyFont="1" applyFill="1" applyBorder="1"/>
    <xf numFmtId="0" fontId="15" fillId="12" borderId="28" xfId="0" applyFont="1" applyFill="1" applyBorder="1" applyAlignment="1">
      <alignment horizontal="center" vertical="center" wrapText="1"/>
    </xf>
    <xf numFmtId="165" fontId="2" fillId="12" borderId="25" xfId="0" applyNumberFormat="1" applyFont="1" applyFill="1" applyBorder="1"/>
    <xf numFmtId="0" fontId="16" fillId="10" borderId="9" xfId="0" applyFont="1" applyFill="1" applyBorder="1" applyAlignment="1">
      <alignment horizontal="center" vertical="center" wrapText="1" readingOrder="1"/>
    </xf>
    <xf numFmtId="165" fontId="2" fillId="10" borderId="24" xfId="0" applyNumberFormat="1" applyFont="1" applyFill="1" applyBorder="1"/>
    <xf numFmtId="0" fontId="15" fillId="9" borderId="11" xfId="0" applyFont="1" applyFill="1" applyBorder="1" applyAlignment="1">
      <alignment horizontal="center" vertical="center" wrapText="1" readingOrder="1"/>
    </xf>
    <xf numFmtId="0" fontId="13" fillId="12" borderId="22" xfId="0" applyFont="1" applyFill="1" applyBorder="1" applyAlignment="1">
      <alignment horizontal="center" vertical="center" wrapText="1" readingOrder="1"/>
    </xf>
    <xf numFmtId="0" fontId="13" fillId="9" borderId="20" xfId="0" applyFont="1" applyFill="1" applyBorder="1" applyAlignment="1">
      <alignment horizontal="center" vertical="center" wrapText="1" readingOrder="1"/>
    </xf>
    <xf numFmtId="165" fontId="2" fillId="9" borderId="15" xfId="0" applyNumberFormat="1" applyFont="1" applyFill="1" applyBorder="1"/>
    <xf numFmtId="1" fontId="14" fillId="7" borderId="14" xfId="0" applyNumberFormat="1" applyFont="1" applyFill="1" applyBorder="1" applyAlignment="1">
      <alignment horizontal="center"/>
    </xf>
    <xf numFmtId="9" fontId="14" fillId="7" borderId="14" xfId="1" applyFont="1" applyFill="1" applyBorder="1" applyAlignment="1">
      <alignment horizontal="center"/>
    </xf>
    <xf numFmtId="166" fontId="12" fillId="7" borderId="23" xfId="0" applyNumberFormat="1" applyFont="1" applyFill="1" applyBorder="1" applyAlignment="1">
      <alignment horizontal="center" vertical="center" wrapText="1" readingOrder="1"/>
    </xf>
    <xf numFmtId="166" fontId="12" fillId="7" borderId="37" xfId="0" applyNumberFormat="1" applyFont="1" applyFill="1" applyBorder="1" applyAlignment="1">
      <alignment horizontal="center" vertical="center" wrapText="1" readingOrder="1"/>
    </xf>
    <xf numFmtId="165" fontId="13" fillId="8" borderId="6" xfId="0" applyNumberFormat="1" applyFont="1" applyFill="1" applyBorder="1" applyAlignment="1">
      <alignment horizontal="center" vertical="center" wrapText="1" readingOrder="1"/>
    </xf>
    <xf numFmtId="1" fontId="12" fillId="6" borderId="6" xfId="0" applyNumberFormat="1" applyFont="1" applyFill="1" applyBorder="1" applyAlignment="1">
      <alignment horizontal="center" vertical="center" wrapText="1" readingOrder="1"/>
    </xf>
    <xf numFmtId="0" fontId="13" fillId="6" borderId="10" xfId="0" applyFont="1" applyFill="1" applyBorder="1" applyAlignment="1">
      <alignment horizontal="center" vertical="center" wrapText="1" readingOrder="1"/>
    </xf>
    <xf numFmtId="167" fontId="0" fillId="0" borderId="0" xfId="0" applyNumberFormat="1"/>
    <xf numFmtId="0" fontId="13" fillId="6" borderId="21" xfId="0" applyFont="1" applyFill="1" applyBorder="1" applyAlignment="1">
      <alignment horizontal="center" vertical="center" wrapText="1" readingOrder="1"/>
    </xf>
    <xf numFmtId="0" fontId="15" fillId="6" borderId="18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 readingOrder="1"/>
    </xf>
    <xf numFmtId="0" fontId="15" fillId="6" borderId="16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 readingOrder="1"/>
    </xf>
    <xf numFmtId="0" fontId="15" fillId="6" borderId="6" xfId="0" applyFont="1" applyFill="1" applyBorder="1" applyAlignment="1">
      <alignment horizontal="center" vertical="center" wrapText="1" readingOrder="1"/>
    </xf>
    <xf numFmtId="0" fontId="16" fillId="6" borderId="21" xfId="0" applyFont="1" applyFill="1" applyBorder="1" applyAlignment="1">
      <alignment horizontal="center" vertical="center" wrapText="1" readingOrder="1"/>
    </xf>
    <xf numFmtId="9" fontId="13" fillId="6" borderId="6" xfId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9" fontId="15" fillId="8" borderId="6" xfId="1" applyFont="1" applyFill="1" applyBorder="1" applyAlignment="1">
      <alignment horizontal="center" vertical="center" wrapText="1" readingOrder="1"/>
    </xf>
    <xf numFmtId="167" fontId="13" fillId="6" borderId="6" xfId="0" applyNumberFormat="1" applyFont="1" applyFill="1" applyBorder="1" applyAlignment="1">
      <alignment horizontal="center" vertical="center" wrapText="1" readingOrder="1"/>
    </xf>
    <xf numFmtId="167" fontId="14" fillId="7" borderId="0" xfId="0" applyNumberFormat="1" applyFont="1" applyFill="1" applyAlignment="1">
      <alignment horizontal="center"/>
    </xf>
    <xf numFmtId="9" fontId="12" fillId="8" borderId="6" xfId="0" applyNumberFormat="1" applyFont="1" applyFill="1" applyBorder="1" applyAlignment="1">
      <alignment horizontal="center" vertical="center" wrapText="1" readingOrder="1"/>
    </xf>
    <xf numFmtId="1" fontId="13" fillId="6" borderId="6" xfId="0" applyNumberFormat="1" applyFont="1" applyFill="1" applyBorder="1" applyAlignment="1">
      <alignment horizontal="center" vertical="center" wrapText="1" readingOrder="1"/>
    </xf>
    <xf numFmtId="9" fontId="13" fillId="9" borderId="6" xfId="0" applyNumberFormat="1" applyFont="1" applyFill="1" applyBorder="1" applyAlignment="1">
      <alignment horizontal="center" vertical="center" wrapText="1" readingOrder="1"/>
    </xf>
    <xf numFmtId="9" fontId="13" fillId="13" borderId="6" xfId="0" applyNumberFormat="1" applyFont="1" applyFill="1" applyBorder="1" applyAlignment="1">
      <alignment horizontal="center" vertical="center" wrapText="1" readingOrder="1"/>
    </xf>
    <xf numFmtId="9" fontId="13" fillId="10" borderId="6" xfId="0" applyNumberFormat="1" applyFont="1" applyFill="1" applyBorder="1" applyAlignment="1">
      <alignment horizontal="center" vertical="center" wrapText="1" readingOrder="1"/>
    </xf>
    <xf numFmtId="9" fontId="13" fillId="9" borderId="8" xfId="0" applyNumberFormat="1" applyFont="1" applyFill="1" applyBorder="1" applyAlignment="1">
      <alignment horizontal="center" vertical="center" wrapText="1" readingOrder="1"/>
    </xf>
    <xf numFmtId="165" fontId="13" fillId="0" borderId="6" xfId="0" applyNumberFormat="1" applyFont="1" applyBorder="1" applyAlignment="1">
      <alignment horizontal="center" vertical="center" wrapText="1" readingOrder="1"/>
    </xf>
    <xf numFmtId="166" fontId="13" fillId="13" borderId="6" xfId="0" applyNumberFormat="1" applyFont="1" applyFill="1" applyBorder="1" applyAlignment="1">
      <alignment horizontal="center" vertical="center" wrapText="1" readingOrder="1"/>
    </xf>
    <xf numFmtId="9" fontId="13" fillId="10" borderId="8" xfId="0" applyNumberFormat="1" applyFont="1" applyFill="1" applyBorder="1" applyAlignment="1">
      <alignment horizontal="center" vertical="center" wrapText="1" readingOrder="1"/>
    </xf>
    <xf numFmtId="166" fontId="13" fillId="10" borderId="6" xfId="0" applyNumberFormat="1" applyFont="1" applyFill="1" applyBorder="1" applyAlignment="1">
      <alignment horizontal="center" vertical="center" wrapText="1" readingOrder="1"/>
    </xf>
    <xf numFmtId="166" fontId="12" fillId="13" borderId="6" xfId="0" applyNumberFormat="1" applyFont="1" applyFill="1" applyBorder="1" applyAlignment="1">
      <alignment horizontal="center" vertical="center" wrapText="1" readingOrder="1"/>
    </xf>
    <xf numFmtId="9" fontId="13" fillId="13" borderId="6" xfId="1" applyFont="1" applyFill="1" applyBorder="1" applyAlignment="1">
      <alignment horizontal="center" vertical="center" wrapText="1" readingOrder="1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textRotation="90"/>
    </xf>
    <xf numFmtId="0" fontId="6" fillId="2" borderId="5" xfId="0" applyFont="1" applyFill="1" applyBorder="1" applyAlignment="1">
      <alignment horizontal="center" vertical="center" textRotation="90"/>
    </xf>
    <xf numFmtId="0" fontId="7" fillId="2" borderId="0" xfId="0" applyFont="1" applyFill="1" applyAlignme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AAA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Demand gen</a:t>
            </a:r>
            <a:r>
              <a:rPr lang="en-GB" baseline="0"/>
              <a:t> results &amp; target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'prior years'!$B$2</c:f>
              <c:strCache>
                <c:ptCount val="1"/>
                <c:pt idx="0">
                  <c:v>MQL 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'prior years'!$A$3:$A$14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'prior years'!$B$3:$B$14</c:f>
              <c:numCache>
                <c:formatCode>General</c:formatCode>
                <c:ptCount val="12"/>
                <c:pt idx="0">
                  <c:v>216</c:v>
                </c:pt>
                <c:pt idx="1">
                  <c:v>162</c:v>
                </c:pt>
                <c:pt idx="2">
                  <c:v>154</c:v>
                </c:pt>
                <c:pt idx="3">
                  <c:v>210</c:v>
                </c:pt>
                <c:pt idx="4">
                  <c:v>376</c:v>
                </c:pt>
                <c:pt idx="5">
                  <c:v>299</c:v>
                </c:pt>
                <c:pt idx="6">
                  <c:v>207</c:v>
                </c:pt>
                <c:pt idx="7">
                  <c:v>49</c:v>
                </c:pt>
                <c:pt idx="8">
                  <c:v>137</c:v>
                </c:pt>
                <c:pt idx="9">
                  <c:v>148</c:v>
                </c:pt>
                <c:pt idx="10">
                  <c:v>176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7-43DF-8175-D0C9E548403D}"/>
            </c:ext>
          </c:extLst>
        </c:ser>
        <c:ser>
          <c:idx val="1"/>
          <c:order val="1"/>
          <c:tx>
            <c:strRef>
              <c:f>'prior years'!$C$2</c:f>
              <c:strCache>
                <c:ptCount val="1"/>
                <c:pt idx="0">
                  <c:v>MQL 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'prior years'!$A$3:$A$14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'prior years'!$C$3:$C$14</c:f>
              <c:numCache>
                <c:formatCode>General</c:formatCode>
                <c:ptCount val="12"/>
                <c:pt idx="0">
                  <c:v>404</c:v>
                </c:pt>
                <c:pt idx="1">
                  <c:v>457</c:v>
                </c:pt>
                <c:pt idx="2">
                  <c:v>230</c:v>
                </c:pt>
                <c:pt idx="3">
                  <c:v>197</c:v>
                </c:pt>
                <c:pt idx="4">
                  <c:v>328</c:v>
                </c:pt>
                <c:pt idx="5">
                  <c:v>343</c:v>
                </c:pt>
                <c:pt idx="6">
                  <c:v>156</c:v>
                </c:pt>
                <c:pt idx="7">
                  <c:v>83</c:v>
                </c:pt>
                <c:pt idx="8">
                  <c:v>342</c:v>
                </c:pt>
                <c:pt idx="9">
                  <c:v>334</c:v>
                </c:pt>
                <c:pt idx="10">
                  <c:v>359</c:v>
                </c:pt>
                <c:pt idx="1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7-43DF-8175-D0C9E548403D}"/>
            </c:ext>
          </c:extLst>
        </c:ser>
        <c:ser>
          <c:idx val="2"/>
          <c:order val="2"/>
          <c:tx>
            <c:strRef>
              <c:f>'prior years'!$D$2</c:f>
              <c:strCache>
                <c:ptCount val="1"/>
                <c:pt idx="0">
                  <c:v>MQL 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'prior years'!$A$3:$A$14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'prior years'!$D$3:$D$14</c:f>
              <c:numCache>
                <c:formatCode>General</c:formatCode>
                <c:ptCount val="12"/>
                <c:pt idx="0">
                  <c:v>808</c:v>
                </c:pt>
                <c:pt idx="1">
                  <c:v>374</c:v>
                </c:pt>
                <c:pt idx="2">
                  <c:v>253</c:v>
                </c:pt>
                <c:pt idx="3">
                  <c:v>280</c:v>
                </c:pt>
                <c:pt idx="4">
                  <c:v>446</c:v>
                </c:pt>
                <c:pt idx="5">
                  <c:v>304</c:v>
                </c:pt>
                <c:pt idx="6">
                  <c:v>209</c:v>
                </c:pt>
                <c:pt idx="7">
                  <c:v>118</c:v>
                </c:pt>
                <c:pt idx="8">
                  <c:v>294</c:v>
                </c:pt>
                <c:pt idx="9">
                  <c:v>359</c:v>
                </c:pt>
                <c:pt idx="10">
                  <c:v>482</c:v>
                </c:pt>
                <c:pt idx="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7-43DF-8175-D0C9E548403D}"/>
            </c:ext>
          </c:extLst>
        </c:ser>
        <c:ser>
          <c:idx val="3"/>
          <c:order val="3"/>
          <c:tx>
            <c:strRef>
              <c:f>'prior years'!$E$2</c:f>
              <c:strCache>
                <c:ptCount val="1"/>
                <c:pt idx="0">
                  <c:v>MQL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'prior years'!$A$3:$A$14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'prior years'!$E$3:$E$14</c:f>
              <c:numCache>
                <c:formatCode>0</c:formatCode>
                <c:ptCount val="12"/>
                <c:pt idx="0">
                  <c:v>623</c:v>
                </c:pt>
                <c:pt idx="1">
                  <c:v>567</c:v>
                </c:pt>
                <c:pt idx="2">
                  <c:v>534.61538461538464</c:v>
                </c:pt>
                <c:pt idx="3">
                  <c:v>310.53846153846149</c:v>
                </c:pt>
                <c:pt idx="4">
                  <c:v>412.07692307692304</c:v>
                </c:pt>
                <c:pt idx="5">
                  <c:v>630.38461538461536</c:v>
                </c:pt>
                <c:pt idx="6">
                  <c:v>394.30769230769226</c:v>
                </c:pt>
                <c:pt idx="7">
                  <c:v>133.69230769230768</c:v>
                </c:pt>
                <c:pt idx="8">
                  <c:v>568</c:v>
                </c:pt>
                <c:pt idx="9">
                  <c:v>687</c:v>
                </c:pt>
                <c:pt idx="10">
                  <c:v>729</c:v>
                </c:pt>
                <c:pt idx="11">
                  <c:v>584.41025641025635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57-43DF-8175-D0C9E548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948751"/>
        <c:axId val="775949231"/>
      </c:lineChart>
      <c:catAx>
        <c:axId val="7759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49231"/>
        <c:crosses val="autoZero"/>
        <c:auto val="1"/>
        <c:lblAlgn val="ctr"/>
        <c:lblOffset val="100"/>
        <c:noMultiLvlLbl val="0"/>
      </c:catAx>
      <c:valAx>
        <c:axId val="77594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/>
                </a:solidFill>
              </a:rPr>
              <a:t>Marketing Pipeline 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'ELT Graph'!$C$2</c:f>
              <c:strCache>
                <c:ptCount val="1"/>
                <c:pt idx="0">
                  <c:v>Target pipeline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'ELT Graph'!$B$3:$B$14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'ELT Graph'!$C$3:$C$14</c:f>
              <c:numCache>
                <c:formatCode>"£"#,##0</c:formatCode>
                <c:ptCount val="12"/>
                <c:pt idx="0">
                  <c:v>468800</c:v>
                </c:pt>
                <c:pt idx="1">
                  <c:v>529600</c:v>
                </c:pt>
                <c:pt idx="2">
                  <c:v>618400</c:v>
                </c:pt>
                <c:pt idx="3">
                  <c:v>293600</c:v>
                </c:pt>
                <c:pt idx="4">
                  <c:v>389600</c:v>
                </c:pt>
                <c:pt idx="5">
                  <c:v>596000</c:v>
                </c:pt>
                <c:pt idx="6">
                  <c:v>372800</c:v>
                </c:pt>
                <c:pt idx="7">
                  <c:v>126400</c:v>
                </c:pt>
                <c:pt idx="8">
                  <c:v>688800</c:v>
                </c:pt>
                <c:pt idx="9">
                  <c:v>604000</c:v>
                </c:pt>
                <c:pt idx="10">
                  <c:v>731200</c:v>
                </c:pt>
                <c:pt idx="11">
                  <c:v>621600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4-4E5E-AA25-1212AF91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3329264"/>
        <c:axId val="543326384"/>
      </c:barChart>
      <c:lineChart>
        <c:grouping val="standard"/>
        <c:varyColors val="0"/>
        <c:ser>
          <c:idx val="1"/>
          <c:order val="1"/>
          <c:tx>
            <c:strRef>
              <c:f>'ELT Graph'!$D$2</c:f>
              <c:strCache>
                <c:ptCount val="1"/>
                <c:pt idx="0">
                  <c:v>Actual Pipeline</c:v>
                </c:pt>
              </c:strCache>
            </c:strRef>
          </c:tx>
          <c:spPr>
            <a:ln w="28575" cap="rnd">
              <a:solidFill>
                <a:srgbClr val="0AAAB8"/>
              </a:solidFill>
              <a:round/>
            </a:ln>
            <a:effectLst/>
          </c:spPr>
          <c:marker>
            <c:symbol val="none"/>
          </c:marker>
          <c:cat>
            <c:strRef>
              <c:f>'ELT Graph'!$B$3:$B$14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'ELT Graph'!$D$3:$D$14</c:f>
              <c:numCache>
                <c:formatCode>"£"#,##0</c:formatCode>
                <c:ptCount val="12"/>
                <c:pt idx="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4-4E5E-AA25-1212AF91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329264"/>
        <c:axId val="543326384"/>
      </c:lineChart>
      <c:catAx>
        <c:axId val="5433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26384"/>
        <c:crosses val="autoZero"/>
        <c:auto val="1"/>
        <c:lblAlgn val="ctr"/>
        <c:lblOffset val="100"/>
        <c:noMultiLvlLbl val="0"/>
      </c:catAx>
      <c:valAx>
        <c:axId val="5433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17462</xdr:colOff>
      <xdr:row>0</xdr:row>
      <xdr:rowOff>87312</xdr:rowOff>
    </xdr:from>
    <xdr:to>
      <xdr:col>18</xdr:col>
      <xdr:colOff>371475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585014-9052-AAA2-52B8-FEEDE6735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</xdr:row>
      <xdr:rowOff>103187</xdr:rowOff>
    </xdr:from>
    <xdr:to>
      <xdr:col>13</xdr:col>
      <xdr:colOff>590550</xdr:colOff>
      <xdr:row>13</xdr:row>
      <xdr:rowOff>325437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8E218-FD72-1A6F-FA16-646DEA63D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221A-99C9-4C05-9483-87E7AA070FCA}">
  <dimension ref="A1:Q38"/>
  <sheetViews>
    <sheetView tabSelected="1" topLeftCell="A2" zoomScale="115" zoomScaleNormal="115" workbookViewId="0">
      <selection activeCell="M7" sqref="M7"/>
    </sheetView>
  </sheetViews>
  <sheetFormatPr defaultRowHeight="14.45"/>
  <cols>
    <col min="1" max="1" width="11.7109375" bestFit="1" customWidth="1"/>
    <col min="3" max="3" width="9" customWidth="1"/>
    <col min="4" max="4" width="8.7109375" customWidth="1"/>
    <col min="5" max="5" width="12.28515625" customWidth="1"/>
    <col min="6" max="7" width="8.7109375" customWidth="1"/>
    <col min="8" max="8" width="16.85546875" customWidth="1"/>
    <col min="9" max="9" width="17.42578125" customWidth="1"/>
    <col min="10" max="10" width="10.85546875" customWidth="1"/>
    <col min="11" max="11" width="12" customWidth="1"/>
    <col min="12" max="12" width="14.42578125" customWidth="1"/>
    <col min="13" max="13" width="15.28515625" customWidth="1"/>
    <col min="15" max="15" width="13.28515625" bestFit="1" customWidth="1"/>
    <col min="16" max="16" width="12" customWidth="1"/>
  </cols>
  <sheetData>
    <row r="1" spans="1:17" ht="15" thickBot="1"/>
    <row r="2" spans="1:17" ht="48.95" thickTop="1" thickBot="1">
      <c r="A2" s="54"/>
      <c r="B2" s="55" t="s">
        <v>0</v>
      </c>
      <c r="C2" s="55" t="s">
        <v>1</v>
      </c>
      <c r="D2" s="55" t="s">
        <v>2</v>
      </c>
      <c r="E2" s="55" t="s">
        <v>3</v>
      </c>
      <c r="F2" s="55" t="s">
        <v>1</v>
      </c>
      <c r="G2" s="55" t="s">
        <v>2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5" t="s">
        <v>10</v>
      </c>
    </row>
    <row r="3" spans="1:17" ht="15.6" thickTop="1" thickBot="1">
      <c r="A3" s="163" t="s">
        <v>13</v>
      </c>
      <c r="B3" s="148">
        <v>623</v>
      </c>
      <c r="C3" s="31">
        <v>781</v>
      </c>
      <c r="D3" s="166">
        <f>C3/B3</f>
        <v>1.2536115569823434</v>
      </c>
      <c r="E3" s="148">
        <v>147.33714285714285</v>
      </c>
      <c r="F3" s="31">
        <v>83</v>
      </c>
      <c r="G3" s="165">
        <f>F3/C3</f>
        <v>0.10627400768245839</v>
      </c>
      <c r="H3" s="171">
        <f>F3/C3</f>
        <v>0.10627400768245839</v>
      </c>
      <c r="I3" s="167">
        <f>F3/C3</f>
        <v>0.10627400768245839</v>
      </c>
      <c r="J3" s="32">
        <v>3500</v>
      </c>
      <c r="K3" s="172">
        <f>M3/F3</f>
        <v>3554.2168674698796</v>
      </c>
      <c r="L3" s="147">
        <v>468800</v>
      </c>
      <c r="M3" s="147">
        <v>295000</v>
      </c>
      <c r="N3" s="165">
        <f>M3/L3</f>
        <v>0.62926621160409557</v>
      </c>
      <c r="O3" s="147">
        <v>234400</v>
      </c>
      <c r="P3" s="147"/>
      <c r="Q3" s="42"/>
    </row>
    <row r="4" spans="1:17" ht="15.6" thickTop="1" thickBot="1">
      <c r="A4" s="49" t="s">
        <v>14</v>
      </c>
      <c r="B4" s="148">
        <v>567</v>
      </c>
      <c r="C4" s="31">
        <v>252</v>
      </c>
      <c r="D4" s="165">
        <f>C4/B4</f>
        <v>0.44444444444444442</v>
      </c>
      <c r="E4" s="148">
        <v>162</v>
      </c>
      <c r="F4" s="31">
        <v>33</v>
      </c>
      <c r="G4" s="165">
        <f>F4/E4</f>
        <v>0.20370370370370369</v>
      </c>
      <c r="H4" s="168">
        <f>F4/C4</f>
        <v>0.13095238095238096</v>
      </c>
      <c r="I4" s="167" cm="1">
        <f t="array" ref="I4:I5">F3:F4/C3:C4</f>
        <v>0.10627400768245839</v>
      </c>
      <c r="J4" s="32">
        <v>3500</v>
      </c>
      <c r="K4" s="170">
        <f>M4/F4</f>
        <v>6181.818181818182</v>
      </c>
      <c r="L4" s="147">
        <v>529600</v>
      </c>
      <c r="M4" s="147">
        <v>204000</v>
      </c>
      <c r="N4" s="167">
        <f>M4/L4</f>
        <v>0.38519637462235651</v>
      </c>
      <c r="O4" s="147">
        <v>264800</v>
      </c>
      <c r="P4" s="147"/>
      <c r="Q4" s="42"/>
    </row>
    <row r="5" spans="1:17" ht="15.6" thickTop="1" thickBot="1">
      <c r="A5" s="49" t="s">
        <v>15</v>
      </c>
      <c r="B5" s="148">
        <v>534.61538461538464</v>
      </c>
      <c r="C5" s="31"/>
      <c r="D5" s="42"/>
      <c r="E5" s="148">
        <v>139</v>
      </c>
      <c r="F5" s="31"/>
      <c r="G5" s="42"/>
      <c r="H5" s="41"/>
      <c r="I5" s="42">
        <v>0.13095238095238096</v>
      </c>
      <c r="J5" s="32">
        <v>3500</v>
      </c>
      <c r="K5" s="43" t="s">
        <v>16</v>
      </c>
      <c r="L5" s="147">
        <v>618400</v>
      </c>
      <c r="M5" s="147"/>
      <c r="N5" s="42"/>
      <c r="O5" s="147">
        <v>309200</v>
      </c>
      <c r="P5" s="147"/>
      <c r="Q5" s="42"/>
    </row>
    <row r="6" spans="1:17" ht="15.6" thickTop="1" thickBot="1">
      <c r="A6" s="49" t="s">
        <v>17</v>
      </c>
      <c r="B6" s="148">
        <v>310.53846153846149</v>
      </c>
      <c r="C6" s="31"/>
      <c r="D6" s="42"/>
      <c r="E6" s="148">
        <v>80.739999999999995</v>
      </c>
      <c r="F6" s="31"/>
      <c r="G6" s="42"/>
      <c r="H6" s="41"/>
      <c r="I6" s="42"/>
      <c r="J6" s="32">
        <v>4000</v>
      </c>
      <c r="K6" s="43" t="s">
        <v>16</v>
      </c>
      <c r="L6" s="147">
        <v>293600</v>
      </c>
      <c r="M6" s="147"/>
      <c r="N6" s="42"/>
      <c r="O6" s="147">
        <v>146800</v>
      </c>
      <c r="P6" s="147"/>
      <c r="Q6" s="42"/>
    </row>
    <row r="7" spans="1:17" ht="15.6" thickTop="1" thickBot="1">
      <c r="A7" s="49" t="s">
        <v>18</v>
      </c>
      <c r="B7" s="148">
        <v>412.07692307692304</v>
      </c>
      <c r="C7" s="31"/>
      <c r="D7" s="42"/>
      <c r="E7" s="148">
        <v>107.14</v>
      </c>
      <c r="F7" s="31"/>
      <c r="G7" s="42"/>
      <c r="H7" s="41"/>
      <c r="I7" s="42"/>
      <c r="J7" s="32">
        <v>4000</v>
      </c>
      <c r="K7" s="43" t="s">
        <v>16</v>
      </c>
      <c r="L7" s="147">
        <v>389600</v>
      </c>
      <c r="M7" s="147"/>
      <c r="N7" s="42"/>
      <c r="O7" s="147">
        <v>194800</v>
      </c>
      <c r="P7" s="147"/>
      <c r="Q7" s="42"/>
    </row>
    <row r="8" spans="1:17" ht="15.6" thickTop="1" thickBot="1">
      <c r="A8" s="49" t="s">
        <v>19</v>
      </c>
      <c r="B8" s="148">
        <v>630.38461538461536</v>
      </c>
      <c r="C8" s="31"/>
      <c r="D8" s="42"/>
      <c r="E8" s="148">
        <v>163.9</v>
      </c>
      <c r="F8" s="31"/>
      <c r="G8" s="42"/>
      <c r="H8" s="41"/>
      <c r="I8" s="42"/>
      <c r="J8" s="32">
        <v>4000</v>
      </c>
      <c r="K8" s="43" t="s">
        <v>16</v>
      </c>
      <c r="L8" s="147">
        <v>596000</v>
      </c>
      <c r="M8" s="147"/>
      <c r="N8" s="42"/>
      <c r="O8" s="147">
        <v>298000</v>
      </c>
      <c r="P8" s="147"/>
      <c r="Q8" s="42"/>
    </row>
    <row r="9" spans="1:17" ht="15.6" thickTop="1" thickBot="1">
      <c r="A9" s="49" t="s">
        <v>20</v>
      </c>
      <c r="B9" s="148">
        <v>394.30769230769226</v>
      </c>
      <c r="C9" s="31"/>
      <c r="D9" s="42"/>
      <c r="E9" s="148">
        <v>102.52</v>
      </c>
      <c r="F9" s="31"/>
      <c r="G9" s="42"/>
      <c r="H9" s="41"/>
      <c r="I9" s="42"/>
      <c r="J9" s="32">
        <v>4000</v>
      </c>
      <c r="K9" s="43" t="s">
        <v>16</v>
      </c>
      <c r="L9" s="147">
        <v>372800</v>
      </c>
      <c r="M9" s="147"/>
      <c r="N9" s="42"/>
      <c r="O9" s="147">
        <v>186400</v>
      </c>
      <c r="P9" s="147"/>
      <c r="Q9" s="42"/>
    </row>
    <row r="10" spans="1:17" ht="15.6" thickTop="1" thickBot="1">
      <c r="A10" s="49" t="s">
        <v>21</v>
      </c>
      <c r="B10" s="148">
        <v>133.69230769230768</v>
      </c>
      <c r="C10" s="31"/>
      <c r="D10" s="42"/>
      <c r="E10" s="148">
        <v>34.76</v>
      </c>
      <c r="F10" s="31"/>
      <c r="G10" s="42"/>
      <c r="H10" s="41"/>
      <c r="I10" s="42"/>
      <c r="J10" s="32">
        <v>4000</v>
      </c>
      <c r="K10" s="43" t="s">
        <v>16</v>
      </c>
      <c r="L10" s="147">
        <v>126400</v>
      </c>
      <c r="M10" s="147"/>
      <c r="N10" s="42"/>
      <c r="O10" s="147">
        <v>63200</v>
      </c>
      <c r="P10" s="147"/>
      <c r="Q10" s="42"/>
    </row>
    <row r="11" spans="1:17" ht="15.6" thickTop="1" thickBot="1">
      <c r="A11" s="49" t="s">
        <v>22</v>
      </c>
      <c r="B11" s="148">
        <v>568</v>
      </c>
      <c r="C11" s="31"/>
      <c r="D11" s="42"/>
      <c r="E11" s="148">
        <v>189.42</v>
      </c>
      <c r="F11" s="31"/>
      <c r="G11" s="42"/>
      <c r="H11" s="41"/>
      <c r="I11" s="42"/>
      <c r="J11" s="32">
        <v>4000</v>
      </c>
      <c r="K11" s="43" t="s">
        <v>16</v>
      </c>
      <c r="L11" s="147">
        <v>688800</v>
      </c>
      <c r="M11" s="147"/>
      <c r="N11" s="42"/>
      <c r="O11" s="147">
        <v>344400</v>
      </c>
      <c r="P11" s="147"/>
      <c r="Q11" s="42"/>
    </row>
    <row r="12" spans="1:17" ht="15.6" thickTop="1" thickBot="1">
      <c r="A12" s="49" t="s">
        <v>23</v>
      </c>
      <c r="B12" s="148">
        <v>687</v>
      </c>
      <c r="C12" s="31"/>
      <c r="D12" s="42"/>
      <c r="E12" s="148">
        <v>147.64444444444445</v>
      </c>
      <c r="F12" s="31"/>
      <c r="G12" s="42"/>
      <c r="H12" s="41"/>
      <c r="I12" s="42"/>
      <c r="J12" s="32">
        <v>4500</v>
      </c>
      <c r="K12" s="43" t="s">
        <v>16</v>
      </c>
      <c r="L12" s="147">
        <v>604000</v>
      </c>
      <c r="M12" s="147"/>
      <c r="N12" s="42"/>
      <c r="O12" s="147">
        <v>302000</v>
      </c>
      <c r="P12" s="147"/>
      <c r="Q12" s="42"/>
    </row>
    <row r="13" spans="1:17" ht="15.6" thickTop="1" thickBot="1">
      <c r="A13" s="49" t="s">
        <v>24</v>
      </c>
      <c r="B13" s="148">
        <v>729</v>
      </c>
      <c r="C13" s="31"/>
      <c r="D13" s="42"/>
      <c r="E13" s="148">
        <v>178.73777777777778</v>
      </c>
      <c r="F13" s="31"/>
      <c r="G13" s="42"/>
      <c r="H13" s="41"/>
      <c r="I13" s="42"/>
      <c r="J13" s="32">
        <v>4500</v>
      </c>
      <c r="K13" s="43" t="s">
        <v>16</v>
      </c>
      <c r="L13" s="147">
        <v>731200</v>
      </c>
      <c r="M13" s="147"/>
      <c r="N13" s="42"/>
      <c r="O13" s="147">
        <v>365600</v>
      </c>
      <c r="P13" s="147"/>
      <c r="Q13" s="42"/>
    </row>
    <row r="14" spans="1:17" ht="15.6" thickTop="1" thickBot="1">
      <c r="A14" s="49" t="s">
        <v>25</v>
      </c>
      <c r="B14" s="148">
        <v>584.41025641025635</v>
      </c>
      <c r="C14" s="31"/>
      <c r="D14" s="42"/>
      <c r="E14" s="148">
        <v>151.94666666666666</v>
      </c>
      <c r="F14" s="31"/>
      <c r="G14" s="42"/>
      <c r="H14" s="41"/>
      <c r="I14" s="42"/>
      <c r="J14" s="32">
        <v>4500</v>
      </c>
      <c r="K14" s="43" t="s">
        <v>16</v>
      </c>
      <c r="L14" s="147">
        <v>621600</v>
      </c>
      <c r="M14" s="147"/>
      <c r="N14" s="42"/>
      <c r="O14" s="147">
        <v>310800</v>
      </c>
      <c r="P14" s="147"/>
      <c r="Q14" s="42"/>
    </row>
    <row r="15" spans="1:17" ht="15.6" thickTop="1" thickBot="1">
      <c r="A15" s="35" t="s">
        <v>26</v>
      </c>
      <c r="B15" s="36">
        <f>SUM(B3:B14)</f>
        <v>6174.0256410256407</v>
      </c>
      <c r="C15" s="36">
        <f>SUM(C3:C14)</f>
        <v>1033</v>
      </c>
      <c r="D15" s="37">
        <f>C15/B15</f>
        <v>0.16731385000020765</v>
      </c>
      <c r="E15" s="36">
        <f>SUM(E3:E14)</f>
        <v>1605.1460317460317</v>
      </c>
      <c r="F15" s="36">
        <f>SUM(F3:F14)</f>
        <v>116</v>
      </c>
      <c r="G15" s="37">
        <f>F15/E15</f>
        <v>7.2267568000537963E-2</v>
      </c>
      <c r="H15" s="36"/>
      <c r="I15" s="37"/>
      <c r="J15" s="61">
        <v>4000</v>
      </c>
      <c r="K15" s="61"/>
      <c r="L15" s="61">
        <f>SUM(L3:L14)</f>
        <v>6040800</v>
      </c>
      <c r="M15" s="61">
        <f>SUM(M3:M14)</f>
        <v>499000</v>
      </c>
      <c r="N15" s="37"/>
      <c r="O15" s="61">
        <f>SUM(O3:O14)</f>
        <v>3020400</v>
      </c>
      <c r="P15" s="61">
        <f>SUM(P3:P14)</f>
        <v>0</v>
      </c>
      <c r="Q15" s="37">
        <f>P15/O15</f>
        <v>0</v>
      </c>
    </row>
    <row r="16" spans="1:17" ht="15.6" thickTop="1" thickBot="1"/>
    <row r="17" spans="1:17" ht="48.95" thickTop="1" thickBot="1">
      <c r="A17" s="38"/>
      <c r="B17" s="38" t="s">
        <v>0</v>
      </c>
      <c r="C17" s="38" t="s">
        <v>1</v>
      </c>
      <c r="D17" s="38" t="s">
        <v>2</v>
      </c>
      <c r="E17" s="38" t="s">
        <v>3</v>
      </c>
      <c r="F17" s="38" t="s">
        <v>1</v>
      </c>
      <c r="G17" s="38" t="s">
        <v>2</v>
      </c>
      <c r="H17" s="38" t="s">
        <v>4</v>
      </c>
      <c r="I17" s="38" t="s">
        <v>6</v>
      </c>
      <c r="J17" s="38" t="s">
        <v>7</v>
      </c>
      <c r="K17" s="29" t="s">
        <v>27</v>
      </c>
      <c r="L17" s="55" t="s">
        <v>8</v>
      </c>
      <c r="M17" s="55" t="s">
        <v>9</v>
      </c>
      <c r="N17" s="29" t="s">
        <v>10</v>
      </c>
      <c r="O17" s="29" t="s">
        <v>11</v>
      </c>
      <c r="P17" s="29" t="s">
        <v>12</v>
      </c>
      <c r="Q17" s="29" t="s">
        <v>10</v>
      </c>
    </row>
    <row r="18" spans="1:17" ht="15.6" thickTop="1" thickBot="1">
      <c r="A18" s="49" t="s">
        <v>28</v>
      </c>
      <c r="B18" s="148">
        <f>SUM(B3:B5)</f>
        <v>1724.6153846153848</v>
      </c>
      <c r="C18" s="31">
        <f>SUM(C3:C5)</f>
        <v>1033</v>
      </c>
      <c r="D18" s="167">
        <f>C18/B18</f>
        <v>0.59897413024085633</v>
      </c>
      <c r="E18" s="148">
        <f>SUM(E3:E5)</f>
        <v>448.33714285714285</v>
      </c>
      <c r="F18" s="31">
        <f>SUM(F3:F5)</f>
        <v>116</v>
      </c>
      <c r="G18" s="167">
        <f>F18/E18</f>
        <v>0.25873386099746365</v>
      </c>
      <c r="H18" s="41">
        <f>F18/C18</f>
        <v>0.11229428848015489</v>
      </c>
      <c r="I18" s="32">
        <v>3500</v>
      </c>
      <c r="J18" s="173">
        <f>M18/F18</f>
        <v>4301.7241379310344</v>
      </c>
      <c r="K18" s="174">
        <f>J18/I18</f>
        <v>1.229064039408867</v>
      </c>
      <c r="L18" s="147">
        <f>SUM(L3:L5)</f>
        <v>1616800</v>
      </c>
      <c r="M18" s="169">
        <f>SUM(M3:M5)</f>
        <v>499000</v>
      </c>
      <c r="N18" s="167">
        <f>M18/L18</f>
        <v>0.30863433943592283</v>
      </c>
      <c r="O18" s="147">
        <f>SUM(O3:O5)</f>
        <v>808400</v>
      </c>
      <c r="P18" s="147">
        <f>SUM(P3:P5)</f>
        <v>0</v>
      </c>
      <c r="Q18" s="42">
        <f>P18/O18</f>
        <v>0</v>
      </c>
    </row>
    <row r="19" spans="1:17" ht="15.6" thickTop="1" thickBot="1">
      <c r="A19" s="49" t="s">
        <v>29</v>
      </c>
      <c r="B19" s="148">
        <f>SUM(B6:B8)</f>
        <v>1353</v>
      </c>
      <c r="C19" s="31">
        <f>SUM(C6:C8)</f>
        <v>0</v>
      </c>
      <c r="D19" s="42">
        <f t="shared" ref="D19:D22" si="0">C19/B19</f>
        <v>0</v>
      </c>
      <c r="E19" s="148">
        <f>SUM(E6:E8)</f>
        <v>351.78</v>
      </c>
      <c r="F19" s="31">
        <f>SUM(F6:F8)</f>
        <v>0</v>
      </c>
      <c r="G19" s="42">
        <f t="shared" ref="G19:G21" si="1">F19/E19</f>
        <v>0</v>
      </c>
      <c r="H19" s="41" t="e">
        <f>F19/C19</f>
        <v>#DIV/0!</v>
      </c>
      <c r="I19" s="32">
        <v>4000</v>
      </c>
      <c r="J19" s="32"/>
      <c r="K19" s="43"/>
      <c r="L19" s="147">
        <f>SUM(L6:L8)</f>
        <v>1279200</v>
      </c>
      <c r="M19" s="147">
        <f>SUM(M6:M8)</f>
        <v>0</v>
      </c>
      <c r="N19" s="42">
        <f t="shared" ref="N19:N22" si="2">M19/L19</f>
        <v>0</v>
      </c>
      <c r="O19" s="147">
        <f>SUM(O6:O8)</f>
        <v>639600</v>
      </c>
      <c r="P19" s="147">
        <f>SUM(P6:P8)</f>
        <v>0</v>
      </c>
      <c r="Q19" s="42">
        <f t="shared" ref="Q19:Q22" si="3">P19/O19</f>
        <v>0</v>
      </c>
    </row>
    <row r="20" spans="1:17" ht="15.6" thickTop="1" thickBot="1">
      <c r="A20" s="49" t="s">
        <v>30</v>
      </c>
      <c r="B20" s="148">
        <f>SUM(B9:B11)</f>
        <v>1096</v>
      </c>
      <c r="C20" s="31">
        <f>SUM(C9:C11)</f>
        <v>0</v>
      </c>
      <c r="D20" s="42">
        <f t="shared" si="0"/>
        <v>0</v>
      </c>
      <c r="E20" s="148">
        <f>SUM(E9:E11)</f>
        <v>326.7</v>
      </c>
      <c r="F20" s="31">
        <f>SUM(F9:F11)</f>
        <v>0</v>
      </c>
      <c r="G20" s="42">
        <f t="shared" si="1"/>
        <v>0</v>
      </c>
      <c r="H20" s="41" t="e">
        <f>F20/C20</f>
        <v>#DIV/0!</v>
      </c>
      <c r="I20" s="32">
        <v>4000</v>
      </c>
      <c r="J20" s="32"/>
      <c r="K20" s="43"/>
      <c r="L20" s="147">
        <f>SUM(L9:L11)</f>
        <v>1188000</v>
      </c>
      <c r="M20" s="147">
        <f>SUM(M9:M11)</f>
        <v>0</v>
      </c>
      <c r="N20" s="42">
        <f t="shared" si="2"/>
        <v>0</v>
      </c>
      <c r="O20" s="147">
        <f>SUM(O9:O11)</f>
        <v>594000</v>
      </c>
      <c r="P20" s="147">
        <f>SUM(P9:P11)</f>
        <v>0</v>
      </c>
      <c r="Q20" s="42">
        <f t="shared" si="3"/>
        <v>0</v>
      </c>
    </row>
    <row r="21" spans="1:17" ht="15.6" thickTop="1" thickBot="1">
      <c r="A21" s="49" t="s">
        <v>31</v>
      </c>
      <c r="B21" s="148">
        <f>SUM(B12:B14)</f>
        <v>2000.4102564102564</v>
      </c>
      <c r="C21" s="31">
        <f>SUM(C12:C14)</f>
        <v>0</v>
      </c>
      <c r="D21" s="42">
        <f t="shared" si="0"/>
        <v>0</v>
      </c>
      <c r="E21" s="148">
        <f>SUM(E12:E14)</f>
        <v>478.32888888888891</v>
      </c>
      <c r="F21" s="31">
        <v>0</v>
      </c>
      <c r="G21" s="42">
        <f t="shared" si="1"/>
        <v>0</v>
      </c>
      <c r="H21" s="41" t="e">
        <f>F21/C21</f>
        <v>#DIV/0!</v>
      </c>
      <c r="I21" s="32">
        <v>4500</v>
      </c>
      <c r="J21" s="32"/>
      <c r="K21" s="43"/>
      <c r="L21" s="147">
        <f>SUM(L12:L14)</f>
        <v>1956800</v>
      </c>
      <c r="M21" s="147">
        <f>SUM(M12:M14)</f>
        <v>0</v>
      </c>
      <c r="N21" s="42">
        <f t="shared" si="2"/>
        <v>0</v>
      </c>
      <c r="O21" s="147">
        <f>SUM(O12:O14)</f>
        <v>978400</v>
      </c>
      <c r="P21" s="147">
        <f>SUM(P12:P14)</f>
        <v>0</v>
      </c>
      <c r="Q21" s="42">
        <f t="shared" si="3"/>
        <v>0</v>
      </c>
    </row>
    <row r="22" spans="1:17" ht="15" thickTop="1">
      <c r="A22" s="35" t="s">
        <v>26</v>
      </c>
      <c r="B22" s="36">
        <f>SUM(B18:B21)</f>
        <v>6174.0256410256407</v>
      </c>
      <c r="C22" s="35">
        <f>SUM(C18:C21)</f>
        <v>1033</v>
      </c>
      <c r="D22" s="37">
        <f t="shared" si="0"/>
        <v>0.16731385000020765</v>
      </c>
      <c r="E22" s="36">
        <f>SUM(E18:E21)</f>
        <v>1605.1460317460319</v>
      </c>
      <c r="F22" s="36">
        <f>SUM(F18:F21)</f>
        <v>116</v>
      </c>
      <c r="G22" s="37">
        <f>F22/E22</f>
        <v>7.2267568000537949E-2</v>
      </c>
      <c r="H22" s="39"/>
      <c r="I22" s="40">
        <v>3000</v>
      </c>
      <c r="J22" s="40"/>
      <c r="K22" s="37"/>
      <c r="L22" s="40">
        <f>SUM(L18:L21)</f>
        <v>6040800</v>
      </c>
      <c r="M22" s="40">
        <f>SUM(M18:M21)</f>
        <v>499000</v>
      </c>
      <c r="N22" s="37">
        <f t="shared" si="2"/>
        <v>8.260495298635942E-2</v>
      </c>
      <c r="O22" s="40">
        <f>SUM(O18:O21)</f>
        <v>3020400</v>
      </c>
      <c r="P22" s="40">
        <f>SUM(P18:P21)</f>
        <v>0</v>
      </c>
      <c r="Q22" s="37">
        <f t="shared" si="3"/>
        <v>0</v>
      </c>
    </row>
    <row r="38" spans="11:11">
      <c r="K3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7240-7265-4F59-AE89-77F9549DFAF6}">
  <dimension ref="A1:HK33"/>
  <sheetViews>
    <sheetView workbookViewId="0">
      <selection activeCell="M4" sqref="M4:M15"/>
    </sheetView>
  </sheetViews>
  <sheetFormatPr defaultRowHeight="14.45"/>
  <cols>
    <col min="1" max="1" width="11.7109375" bestFit="1" customWidth="1"/>
    <col min="2" max="2" width="9" customWidth="1"/>
    <col min="4" max="4" width="17.42578125" customWidth="1"/>
    <col min="5" max="5" width="12" customWidth="1"/>
    <col min="6" max="6" width="15.28515625" customWidth="1"/>
    <col min="7" max="7" width="13.28515625" bestFit="1" customWidth="1"/>
    <col min="8" max="8" width="12" customWidth="1"/>
    <col min="9" max="9" width="4.140625" customWidth="1"/>
    <col min="10" max="10" width="9" bestFit="1" customWidth="1"/>
    <col min="11" max="11" width="10.140625" customWidth="1"/>
    <col min="12" max="12" width="11.5703125" bestFit="1" customWidth="1"/>
    <col min="13" max="13" width="11.5703125" customWidth="1"/>
    <col min="14" max="14" width="13.140625" bestFit="1" customWidth="1"/>
    <col min="15" max="15" width="12.140625" customWidth="1"/>
    <col min="17" max="17" width="12.42578125" customWidth="1"/>
    <col min="18" max="18" width="8.140625" customWidth="1"/>
  </cols>
  <sheetData>
    <row r="1" spans="1:219" ht="15" thickBot="1"/>
    <row r="2" spans="1:219" ht="15" thickBot="1">
      <c r="B2" s="175">
        <v>2025</v>
      </c>
      <c r="C2" s="176"/>
      <c r="D2" s="176"/>
      <c r="E2" s="176"/>
      <c r="F2" s="176"/>
      <c r="G2" s="176"/>
      <c r="H2" s="177"/>
      <c r="K2" s="178">
        <v>2026</v>
      </c>
      <c r="L2" s="179"/>
      <c r="M2" s="179"/>
      <c r="N2" s="179"/>
      <c r="O2" s="180"/>
    </row>
    <row r="3" spans="1:219" ht="48.95" thickTop="1" thickBot="1">
      <c r="A3" s="115"/>
      <c r="B3" s="125" t="s">
        <v>33</v>
      </c>
      <c r="C3" s="55" t="s">
        <v>34</v>
      </c>
      <c r="D3" s="55" t="s">
        <v>5</v>
      </c>
      <c r="E3" s="55" t="s">
        <v>7</v>
      </c>
      <c r="F3" s="55" t="s">
        <v>35</v>
      </c>
      <c r="G3" s="55" t="s">
        <v>11</v>
      </c>
      <c r="H3" s="126" t="s">
        <v>12</v>
      </c>
      <c r="J3" s="96" t="s">
        <v>36</v>
      </c>
      <c r="K3" s="99" t="s">
        <v>37</v>
      </c>
      <c r="L3" s="96" t="s">
        <v>38</v>
      </c>
      <c r="M3" s="96" t="s">
        <v>39</v>
      </c>
      <c r="N3" s="96" t="s">
        <v>40</v>
      </c>
      <c r="O3" s="100" t="s">
        <v>41</v>
      </c>
      <c r="P3" s="96" t="s">
        <v>42</v>
      </c>
      <c r="Q3" s="96" t="s">
        <v>43</v>
      </c>
      <c r="R3" s="96" t="s">
        <v>44</v>
      </c>
      <c r="S3" s="96" t="s">
        <v>45</v>
      </c>
    </row>
    <row r="4" spans="1:219" s="89" customFormat="1" ht="15" thickBot="1">
      <c r="A4" s="116" t="s">
        <v>13</v>
      </c>
      <c r="B4" s="127">
        <v>808</v>
      </c>
      <c r="C4" s="84">
        <v>213</v>
      </c>
      <c r="D4" s="85">
        <f>C4/B4</f>
        <v>0.26361386138613863</v>
      </c>
      <c r="E4" s="86">
        <v>1645</v>
      </c>
      <c r="F4" s="87">
        <v>651000</v>
      </c>
      <c r="G4" s="87">
        <v>103870.18500000001</v>
      </c>
      <c r="H4" s="128"/>
      <c r="I4"/>
      <c r="J4" s="88">
        <f>F4/F16</f>
        <v>0.16745907477703634</v>
      </c>
      <c r="K4" s="101">
        <v>15</v>
      </c>
      <c r="L4" s="102">
        <v>586000</v>
      </c>
      <c r="M4" s="102">
        <f>L4/10*4</f>
        <v>234400</v>
      </c>
      <c r="N4" s="102">
        <f>L4*2</f>
        <v>1172000</v>
      </c>
      <c r="O4" s="103">
        <f>N4/10*4</f>
        <v>468800</v>
      </c>
      <c r="P4" s="65">
        <v>3500</v>
      </c>
      <c r="Q4" s="5">
        <v>0.26</v>
      </c>
      <c r="R4" s="53">
        <f>(O4/10*11)/P4</f>
        <v>147.33714285714285</v>
      </c>
      <c r="S4" s="53">
        <v>623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</row>
    <row r="5" spans="1:219" ht="15.6" thickTop="1" thickBot="1">
      <c r="A5" s="117" t="s">
        <v>14</v>
      </c>
      <c r="B5" s="129">
        <v>374</v>
      </c>
      <c r="C5" s="31">
        <v>103</v>
      </c>
      <c r="D5" s="42">
        <f t="shared" ref="D5:D13" si="0">(SUM(C4:C5))/SUM(B4:B5)</f>
        <v>0.2673434856175973</v>
      </c>
      <c r="E5" s="43">
        <v>2299</v>
      </c>
      <c r="F5" s="56">
        <v>338348</v>
      </c>
      <c r="G5" s="56">
        <v>101280.95999999998</v>
      </c>
      <c r="H5" s="130"/>
      <c r="J5" s="5">
        <f>F5/SUM(F16)</f>
        <v>8.7034474704547921E-2</v>
      </c>
      <c r="K5" s="104">
        <v>9</v>
      </c>
      <c r="L5" s="2">
        <v>662000</v>
      </c>
      <c r="M5" s="2">
        <f t="shared" ref="M5:M15" si="1">L5/10*4</f>
        <v>264800</v>
      </c>
      <c r="N5" s="2">
        <f t="shared" ref="N5:N15" si="2">L5*2</f>
        <v>1324000</v>
      </c>
      <c r="O5" s="105">
        <f t="shared" ref="O5:O15" si="3">N5/10*4</f>
        <v>529600</v>
      </c>
      <c r="P5" s="65">
        <v>3500</v>
      </c>
      <c r="Q5" s="5">
        <v>0.26</v>
      </c>
      <c r="R5" s="53">
        <v>162</v>
      </c>
      <c r="S5" s="53">
        <v>567</v>
      </c>
    </row>
    <row r="6" spans="1:219" s="71" customFormat="1" ht="15.6" thickTop="1" thickBot="1">
      <c r="A6" s="118" t="s">
        <v>15</v>
      </c>
      <c r="B6" s="131">
        <v>253</v>
      </c>
      <c r="C6" s="74">
        <v>102</v>
      </c>
      <c r="D6" s="63">
        <f t="shared" si="0"/>
        <v>0.32695374800637961</v>
      </c>
      <c r="E6" s="75">
        <v>1604</v>
      </c>
      <c r="F6" s="76">
        <v>315557</v>
      </c>
      <c r="G6" s="76">
        <v>154350.24</v>
      </c>
      <c r="H6" s="132"/>
      <c r="I6"/>
      <c r="J6" s="70">
        <f>F6/SUM(F16)</f>
        <v>8.1171863685740794E-2</v>
      </c>
      <c r="K6" s="106">
        <v>8</v>
      </c>
      <c r="L6" s="107">
        <v>773000</v>
      </c>
      <c r="M6" s="107">
        <f t="shared" si="1"/>
        <v>309200</v>
      </c>
      <c r="N6" s="107">
        <f t="shared" si="2"/>
        <v>1546000</v>
      </c>
      <c r="O6" s="108">
        <f t="shared" si="3"/>
        <v>618400</v>
      </c>
      <c r="P6" s="65">
        <v>3500</v>
      </c>
      <c r="Q6" s="5">
        <v>0.26</v>
      </c>
      <c r="R6" s="53">
        <v>139</v>
      </c>
      <c r="S6" s="53">
        <f t="shared" ref="S6:S11" si="4">R6/Q6</f>
        <v>534.61538461538464</v>
      </c>
      <c r="T6" s="53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</row>
    <row r="7" spans="1:219" s="80" customFormat="1" ht="15" thickBot="1">
      <c r="A7" s="119" t="s">
        <v>17</v>
      </c>
      <c r="B7" s="133">
        <v>289</v>
      </c>
      <c r="C7" s="77">
        <v>59</v>
      </c>
      <c r="D7" s="78">
        <f t="shared" si="0"/>
        <v>0.29704797047970477</v>
      </c>
      <c r="E7" s="67">
        <v>1330</v>
      </c>
      <c r="F7" s="98">
        <v>216374</v>
      </c>
      <c r="G7" s="98">
        <v>91575.420000000013</v>
      </c>
      <c r="H7" s="134"/>
      <c r="I7"/>
      <c r="J7" s="79">
        <f>F7/F16</f>
        <v>5.5658663357613616E-2</v>
      </c>
      <c r="K7" s="109">
        <v>2</v>
      </c>
      <c r="L7" s="110">
        <v>367000</v>
      </c>
      <c r="M7" s="110">
        <f t="shared" si="1"/>
        <v>146800</v>
      </c>
      <c r="N7" s="110">
        <f t="shared" si="2"/>
        <v>734000</v>
      </c>
      <c r="O7" s="111">
        <f t="shared" si="3"/>
        <v>293600</v>
      </c>
      <c r="P7" s="65">
        <v>4000</v>
      </c>
      <c r="Q7" s="5">
        <v>0.26</v>
      </c>
      <c r="R7" s="53">
        <f t="shared" ref="R7:R14" si="5">(O7/10*11)/P7</f>
        <v>80.739999999999995</v>
      </c>
      <c r="S7" s="53">
        <f t="shared" si="4"/>
        <v>310.53846153846149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</row>
    <row r="8" spans="1:219" ht="15.6" thickTop="1" thickBot="1">
      <c r="A8" s="117" t="s">
        <v>18</v>
      </c>
      <c r="B8" s="129">
        <v>446</v>
      </c>
      <c r="C8" s="31">
        <v>140</v>
      </c>
      <c r="D8" s="42">
        <f t="shared" si="0"/>
        <v>0.27074829931972788</v>
      </c>
      <c r="E8" s="43">
        <v>2536</v>
      </c>
      <c r="F8" s="56">
        <v>402807</v>
      </c>
      <c r="G8" s="56">
        <v>96064.904999999999</v>
      </c>
      <c r="H8" s="130"/>
      <c r="J8" s="5">
        <f>F8/F16</f>
        <v>0.10361549544349259</v>
      </c>
      <c r="K8" s="104">
        <v>10</v>
      </c>
      <c r="L8" s="2">
        <v>487000</v>
      </c>
      <c r="M8" s="2">
        <f t="shared" si="1"/>
        <v>194800</v>
      </c>
      <c r="N8" s="2">
        <f t="shared" si="2"/>
        <v>974000</v>
      </c>
      <c r="O8" s="105">
        <f t="shared" si="3"/>
        <v>389600</v>
      </c>
      <c r="P8" s="65">
        <v>4000</v>
      </c>
      <c r="Q8" s="5">
        <v>0.26</v>
      </c>
      <c r="R8" s="53">
        <f t="shared" si="5"/>
        <v>107.14</v>
      </c>
      <c r="S8" s="53">
        <f t="shared" si="4"/>
        <v>412.07692307692304</v>
      </c>
    </row>
    <row r="9" spans="1:219" s="89" customFormat="1" ht="15.6" thickTop="1" thickBot="1">
      <c r="A9" s="120" t="s">
        <v>19</v>
      </c>
      <c r="B9" s="135">
        <v>304</v>
      </c>
      <c r="C9" s="91">
        <v>87</v>
      </c>
      <c r="D9" s="90">
        <f t="shared" si="0"/>
        <v>0.30266666666666664</v>
      </c>
      <c r="E9" s="92">
        <v>5393</v>
      </c>
      <c r="F9" s="97">
        <v>577949</v>
      </c>
      <c r="G9" s="97">
        <v>153287.98500000002</v>
      </c>
      <c r="H9" s="136"/>
      <c r="I9"/>
      <c r="J9" s="88">
        <f>F9/F16</f>
        <v>0.14866790293135695</v>
      </c>
      <c r="K9" s="101">
        <v>12</v>
      </c>
      <c r="L9" s="102">
        <v>745000</v>
      </c>
      <c r="M9" s="102">
        <f t="shared" si="1"/>
        <v>298000</v>
      </c>
      <c r="N9" s="102">
        <f t="shared" si="2"/>
        <v>1490000</v>
      </c>
      <c r="O9" s="103">
        <f t="shared" si="3"/>
        <v>596000</v>
      </c>
      <c r="P9" s="65">
        <v>4000</v>
      </c>
      <c r="Q9" s="5">
        <v>0.26</v>
      </c>
      <c r="R9" s="53">
        <f t="shared" si="5"/>
        <v>163.9</v>
      </c>
      <c r="S9" s="53">
        <f t="shared" si="4"/>
        <v>630.38461538461536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</row>
    <row r="10" spans="1:219" s="71" customFormat="1" ht="15" thickBot="1">
      <c r="A10" s="121" t="s">
        <v>20</v>
      </c>
      <c r="B10" s="137">
        <v>310</v>
      </c>
      <c r="C10" s="72">
        <v>66</v>
      </c>
      <c r="D10" s="68">
        <f t="shared" si="0"/>
        <v>0.249185667752443</v>
      </c>
      <c r="E10" s="69">
        <f>F10/C10</f>
        <v>2173.969696969697</v>
      </c>
      <c r="F10" s="73">
        <v>143482</v>
      </c>
      <c r="G10" s="73">
        <v>80038.274999999994</v>
      </c>
      <c r="H10" s="138"/>
      <c r="I10"/>
      <c r="J10" s="70">
        <f>F10/F16</f>
        <v>3.6908391654621703E-2</v>
      </c>
      <c r="K10" s="106">
        <v>8</v>
      </c>
      <c r="L10" s="107">
        <v>466000</v>
      </c>
      <c r="M10" s="107">
        <f t="shared" si="1"/>
        <v>186400</v>
      </c>
      <c r="N10" s="107">
        <f t="shared" si="2"/>
        <v>932000</v>
      </c>
      <c r="O10" s="108">
        <f t="shared" si="3"/>
        <v>372800</v>
      </c>
      <c r="P10" s="65">
        <v>4000</v>
      </c>
      <c r="Q10" s="5">
        <v>0.26</v>
      </c>
      <c r="R10" s="53">
        <f t="shared" si="5"/>
        <v>102.52</v>
      </c>
      <c r="S10" s="53">
        <f t="shared" si="4"/>
        <v>394.30769230769226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</row>
    <row r="11" spans="1:219" s="80" customFormat="1" ht="15.6" thickTop="1" thickBot="1">
      <c r="A11" s="122" t="s">
        <v>21</v>
      </c>
      <c r="B11" s="139">
        <v>118</v>
      </c>
      <c r="C11" s="81">
        <v>28</v>
      </c>
      <c r="D11" s="62">
        <f t="shared" si="0"/>
        <v>0.21962616822429906</v>
      </c>
      <c r="E11" s="50">
        <f>F11/C11</f>
        <v>1357.1428571428571</v>
      </c>
      <c r="F11" s="98">
        <v>38000</v>
      </c>
      <c r="G11" s="98">
        <v>50815.740000000005</v>
      </c>
      <c r="H11" s="134"/>
      <c r="I11"/>
      <c r="J11" s="79">
        <f>F11/F16</f>
        <v>9.7748768687056543E-3</v>
      </c>
      <c r="K11" s="109">
        <v>2</v>
      </c>
      <c r="L11" s="110">
        <v>158000</v>
      </c>
      <c r="M11" s="110">
        <f t="shared" si="1"/>
        <v>63200</v>
      </c>
      <c r="N11" s="110">
        <f t="shared" si="2"/>
        <v>316000</v>
      </c>
      <c r="O11" s="111">
        <f t="shared" si="3"/>
        <v>126400</v>
      </c>
      <c r="P11" s="65">
        <v>4000</v>
      </c>
      <c r="Q11" s="5">
        <v>0.26</v>
      </c>
      <c r="R11" s="53">
        <f t="shared" si="5"/>
        <v>34.76</v>
      </c>
      <c r="S11" s="53">
        <f t="shared" si="4"/>
        <v>133.69230769230768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</row>
    <row r="12" spans="1:219" ht="15.6" thickTop="1" thickBot="1">
      <c r="A12" s="117" t="s">
        <v>22</v>
      </c>
      <c r="B12" s="129">
        <v>294</v>
      </c>
      <c r="C12" s="31">
        <v>89</v>
      </c>
      <c r="D12" s="42">
        <f t="shared" si="0"/>
        <v>0.28398058252427183</v>
      </c>
      <c r="E12" s="43">
        <f>F12/C12</f>
        <v>3483.1460674157302</v>
      </c>
      <c r="F12" s="56">
        <v>310000</v>
      </c>
      <c r="G12" s="56">
        <v>172118.77500000002</v>
      </c>
      <c r="H12" s="130"/>
      <c r="J12" s="5">
        <f>F12/F16</f>
        <v>7.9742416560493495E-2</v>
      </c>
      <c r="K12" s="104">
        <v>11</v>
      </c>
      <c r="L12" s="2">
        <v>861000</v>
      </c>
      <c r="M12" s="2">
        <f t="shared" si="1"/>
        <v>344400</v>
      </c>
      <c r="N12" s="2">
        <f t="shared" si="2"/>
        <v>1722000</v>
      </c>
      <c r="O12" s="105">
        <f t="shared" si="3"/>
        <v>688800</v>
      </c>
      <c r="P12" s="65">
        <v>4000</v>
      </c>
      <c r="Q12" s="5">
        <v>0.26</v>
      </c>
      <c r="R12" s="53">
        <f t="shared" si="5"/>
        <v>189.42</v>
      </c>
      <c r="S12" s="53">
        <v>568</v>
      </c>
    </row>
    <row r="13" spans="1:219" s="89" customFormat="1" ht="15.6" thickTop="1" thickBot="1">
      <c r="A13" s="123" t="s">
        <v>23</v>
      </c>
      <c r="B13" s="140">
        <v>107</v>
      </c>
      <c r="C13" s="93">
        <v>18</v>
      </c>
      <c r="D13" s="94">
        <f t="shared" si="0"/>
        <v>0.26683291770573564</v>
      </c>
      <c r="E13" s="95">
        <f>F13/C13</f>
        <v>18777.777777777777</v>
      </c>
      <c r="F13" s="97">
        <v>338000</v>
      </c>
      <c r="G13" s="97">
        <v>169101.40499999997</v>
      </c>
      <c r="H13" s="136"/>
      <c r="I13"/>
      <c r="J13" s="88">
        <f>338000/F16</f>
        <v>8.6944957411118712E-2</v>
      </c>
      <c r="K13" s="101">
        <v>10</v>
      </c>
      <c r="L13" s="102">
        <v>755000</v>
      </c>
      <c r="M13" s="102">
        <f t="shared" si="1"/>
        <v>302000</v>
      </c>
      <c r="N13" s="102">
        <f t="shared" si="2"/>
        <v>1510000</v>
      </c>
      <c r="O13" s="103">
        <f t="shared" si="3"/>
        <v>604000</v>
      </c>
      <c r="P13" s="65">
        <v>4500</v>
      </c>
      <c r="Q13" s="5">
        <v>0.26</v>
      </c>
      <c r="R13" s="53">
        <f t="shared" si="5"/>
        <v>147.64444444444445</v>
      </c>
      <c r="S13" s="53">
        <v>687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</row>
    <row r="14" spans="1:219" ht="15.6" thickTop="1" thickBot="1">
      <c r="A14" s="117" t="s">
        <v>24</v>
      </c>
      <c r="B14" s="129"/>
      <c r="C14" s="31"/>
      <c r="D14" s="42"/>
      <c r="E14" s="43"/>
      <c r="F14" s="56">
        <v>338000</v>
      </c>
      <c r="G14" s="56">
        <v>168706.38</v>
      </c>
      <c r="H14" s="130"/>
      <c r="J14" s="5">
        <f>338000/F16</f>
        <v>8.6944957411118712E-2</v>
      </c>
      <c r="K14" s="104">
        <v>11</v>
      </c>
      <c r="L14" s="2">
        <v>914000</v>
      </c>
      <c r="M14" s="2">
        <f t="shared" si="1"/>
        <v>365600</v>
      </c>
      <c r="N14" s="2">
        <f t="shared" si="2"/>
        <v>1828000</v>
      </c>
      <c r="O14" s="105">
        <f t="shared" si="3"/>
        <v>731200</v>
      </c>
      <c r="P14" s="65">
        <v>4500</v>
      </c>
      <c r="Q14" s="5">
        <v>0.26</v>
      </c>
      <c r="R14" s="53">
        <f t="shared" si="5"/>
        <v>178.73777777777778</v>
      </c>
      <c r="S14" s="53">
        <v>729</v>
      </c>
    </row>
    <row r="15" spans="1:219" s="80" customFormat="1" ht="15.6" thickTop="1" thickBot="1">
      <c r="A15" s="124" t="s">
        <v>25</v>
      </c>
      <c r="B15" s="141"/>
      <c r="C15" s="82"/>
      <c r="D15" s="62"/>
      <c r="E15" s="66"/>
      <c r="F15" s="83">
        <v>218000</v>
      </c>
      <c r="G15" s="83">
        <v>109405.70999999998</v>
      </c>
      <c r="H15" s="142"/>
      <c r="I15"/>
      <c r="J15" s="79">
        <f>218000/F16</f>
        <v>5.6076925194153492E-2</v>
      </c>
      <c r="K15" s="112">
        <v>2</v>
      </c>
      <c r="L15" s="113">
        <v>777000</v>
      </c>
      <c r="M15" s="113">
        <f t="shared" si="1"/>
        <v>310800</v>
      </c>
      <c r="N15" s="113">
        <f t="shared" si="2"/>
        <v>1554000</v>
      </c>
      <c r="O15" s="114">
        <f t="shared" si="3"/>
        <v>621600</v>
      </c>
      <c r="P15" s="65">
        <v>4500</v>
      </c>
      <c r="Q15" s="5">
        <v>0.26</v>
      </c>
      <c r="R15" s="53">
        <f>(O15/10*11)/P15</f>
        <v>151.94666666666666</v>
      </c>
      <c r="S15" s="53">
        <f>R15/Q15</f>
        <v>584.41025641025635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</row>
    <row r="16" spans="1:219" ht="15" thickBot="1">
      <c r="A16" s="35" t="s">
        <v>26</v>
      </c>
      <c r="B16" s="51">
        <f>SUM(B4:B15)</f>
        <v>3303</v>
      </c>
      <c r="C16" s="143">
        <f>SUM(C4:C15)</f>
        <v>905</v>
      </c>
      <c r="D16" s="144"/>
      <c r="E16" s="145">
        <f>AVERAGE(E4:E15)</f>
        <v>4059.903639930606</v>
      </c>
      <c r="F16" s="145">
        <f>SUM(F4:F15)</f>
        <v>3887517</v>
      </c>
      <c r="G16" s="145">
        <f>SUM(G4:G15)</f>
        <v>1450615.98</v>
      </c>
      <c r="H16" s="146">
        <f>SUM(H4:H15)</f>
        <v>0</v>
      </c>
    </row>
    <row r="17" spans="1:12" ht="15" thickBot="1"/>
    <row r="18" spans="1:12" ht="48.95" thickTop="1" thickBot="1">
      <c r="A18" s="38"/>
      <c r="B18" s="38" t="s">
        <v>33</v>
      </c>
      <c r="C18" s="38" t="s">
        <v>34</v>
      </c>
      <c r="D18" s="29" t="s">
        <v>35</v>
      </c>
      <c r="E18" s="29" t="s">
        <v>11</v>
      </c>
      <c r="F18" s="29" t="s">
        <v>12</v>
      </c>
    </row>
    <row r="19" spans="1:12" ht="15.6" thickTop="1" thickBot="1">
      <c r="A19" s="31" t="s">
        <v>28</v>
      </c>
      <c r="B19" s="31">
        <f>SUM(B4:B6)</f>
        <v>1435</v>
      </c>
      <c r="C19" s="31">
        <f>SUM(C4:C6)</f>
        <v>418</v>
      </c>
      <c r="D19" s="2">
        <f>SUM(F4:F6)</f>
        <v>1304905</v>
      </c>
      <c r="E19" s="2">
        <f>SUM(G4:G6)</f>
        <v>359501.38500000001</v>
      </c>
      <c r="F19" s="2">
        <f>SUM(H4:H6)</f>
        <v>0</v>
      </c>
      <c r="K19">
        <v>774</v>
      </c>
      <c r="L19" s="53">
        <f>K19/1.32</f>
        <v>586.36363636363637</v>
      </c>
    </row>
    <row r="20" spans="1:12" ht="15.6" thickTop="1" thickBot="1">
      <c r="A20" s="31" t="s">
        <v>29</v>
      </c>
      <c r="B20" s="31">
        <f>SUM(B7:B9)</f>
        <v>1039</v>
      </c>
      <c r="C20" s="31">
        <f>SUM(C7:C9)</f>
        <v>286</v>
      </c>
      <c r="D20" s="2">
        <f>SUM(F7:F9)</f>
        <v>1197130</v>
      </c>
      <c r="E20" s="2">
        <f>SUM(G7:G9)</f>
        <v>340928.31000000006</v>
      </c>
      <c r="F20" s="2">
        <f>SUM(H7:H9)</f>
        <v>0</v>
      </c>
      <c r="H20" s="53"/>
      <c r="K20">
        <v>874</v>
      </c>
      <c r="L20" s="53">
        <f t="shared" ref="L20:L29" si="6">K20/1.32</f>
        <v>662.12121212121212</v>
      </c>
    </row>
    <row r="21" spans="1:12" ht="15.6" thickTop="1" thickBot="1">
      <c r="A21" s="31" t="s">
        <v>30</v>
      </c>
      <c r="B21" s="31">
        <f>SUM(B10:B12)</f>
        <v>722</v>
      </c>
      <c r="C21" s="31">
        <f>SUM(C10:C12)</f>
        <v>183</v>
      </c>
      <c r="D21" s="2">
        <f>SUM(F10:F12)</f>
        <v>491482</v>
      </c>
      <c r="E21" s="2">
        <f>SUM(G10:G12)</f>
        <v>302972.79000000004</v>
      </c>
      <c r="F21" s="2">
        <f>SUM(H10:H12)</f>
        <v>0</v>
      </c>
      <c r="K21">
        <v>1021</v>
      </c>
      <c r="L21" s="53">
        <f t="shared" si="6"/>
        <v>773.4848484848485</v>
      </c>
    </row>
    <row r="22" spans="1:12" ht="15.6" thickTop="1" thickBot="1">
      <c r="A22" s="31" t="s">
        <v>31</v>
      </c>
      <c r="B22" s="31">
        <f>SUM(B13:B15)</f>
        <v>107</v>
      </c>
      <c r="C22" s="31">
        <f>SUM(C13:C15)</f>
        <v>18</v>
      </c>
      <c r="D22" s="2">
        <f>SUM(F13:F15)</f>
        <v>894000</v>
      </c>
      <c r="E22" s="2">
        <f>SUM(G13:G15)</f>
        <v>447213.49499999994</v>
      </c>
      <c r="F22" s="2">
        <f>SUM(H13:H15)</f>
        <v>0</v>
      </c>
      <c r="K22">
        <v>485</v>
      </c>
      <c r="L22" s="53">
        <f t="shared" si="6"/>
        <v>367.42424242424238</v>
      </c>
    </row>
    <row r="23" spans="1:12" ht="15" thickTop="1">
      <c r="A23" s="35" t="s">
        <v>26</v>
      </c>
      <c r="B23" s="35">
        <f>SUM(B19:B22)</f>
        <v>3303</v>
      </c>
      <c r="C23" s="36">
        <f>SUM(C19:C22)</f>
        <v>905</v>
      </c>
      <c r="D23" s="40">
        <f>SUM(D19:D22)</f>
        <v>3887517</v>
      </c>
      <c r="E23" s="40">
        <f>SUM(E19:E22)</f>
        <v>1450615.98</v>
      </c>
      <c r="F23" s="40">
        <f>SUM(F19:F22)</f>
        <v>0</v>
      </c>
      <c r="H23" s="2"/>
      <c r="K23">
        <v>643</v>
      </c>
      <c r="L23" s="53">
        <f t="shared" si="6"/>
        <v>487.12121212121212</v>
      </c>
    </row>
    <row r="24" spans="1:12">
      <c r="K24">
        <v>983</v>
      </c>
      <c r="L24" s="53">
        <f t="shared" si="6"/>
        <v>744.69696969696963</v>
      </c>
    </row>
    <row r="25" spans="1:12">
      <c r="K25">
        <v>615</v>
      </c>
      <c r="L25" s="53">
        <f t="shared" si="6"/>
        <v>465.90909090909088</v>
      </c>
    </row>
    <row r="26" spans="1:12">
      <c r="K26">
        <v>208</v>
      </c>
      <c r="L26" s="53">
        <f t="shared" si="6"/>
        <v>157.57575757575756</v>
      </c>
    </row>
    <row r="27" spans="1:12">
      <c r="K27">
        <v>1136</v>
      </c>
      <c r="L27" s="53">
        <f t="shared" si="6"/>
        <v>860.60606060606051</v>
      </c>
    </row>
    <row r="28" spans="1:12">
      <c r="K28">
        <v>1207</v>
      </c>
      <c r="L28" s="53">
        <f t="shared" si="6"/>
        <v>914.39393939393938</v>
      </c>
    </row>
    <row r="29" spans="1:12">
      <c r="K29">
        <v>1026</v>
      </c>
      <c r="L29" s="53">
        <f t="shared" si="6"/>
        <v>777.27272727272725</v>
      </c>
    </row>
    <row r="30" spans="1:12">
      <c r="L30" s="53"/>
    </row>
    <row r="31" spans="1:12">
      <c r="L31" s="53"/>
    </row>
    <row r="32" spans="1:12">
      <c r="L32" s="53"/>
    </row>
    <row r="33" spans="12:12">
      <c r="L33" s="53"/>
    </row>
  </sheetData>
  <mergeCells count="2">
    <mergeCell ref="B2:H2"/>
    <mergeCell ref="K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479C-91F1-4CAA-A2B6-B99302DFE21D}">
  <dimension ref="A1:E16"/>
  <sheetViews>
    <sheetView zoomScale="115" zoomScaleNormal="115" workbookViewId="0">
      <selection activeCell="E17" sqref="E17"/>
    </sheetView>
  </sheetViews>
  <sheetFormatPr defaultRowHeight="14.45"/>
  <cols>
    <col min="1" max="1" width="14.42578125" customWidth="1"/>
    <col min="3" max="3" width="11" bestFit="1" customWidth="1"/>
  </cols>
  <sheetData>
    <row r="1" spans="1:5" ht="15" thickBot="1"/>
    <row r="2" spans="1:5" ht="33" thickTop="1" thickBot="1">
      <c r="A2" s="28"/>
      <c r="B2" s="48" t="s">
        <v>46</v>
      </c>
      <c r="C2" s="48" t="s">
        <v>47</v>
      </c>
      <c r="D2" s="48" t="s">
        <v>48</v>
      </c>
      <c r="E2" s="48" t="s">
        <v>49</v>
      </c>
    </row>
    <row r="3" spans="1:5" ht="15.6" thickTop="1" thickBot="1">
      <c r="A3" s="30" t="s">
        <v>13</v>
      </c>
      <c r="B3" s="31">
        <v>216</v>
      </c>
      <c r="C3" s="31">
        <v>404</v>
      </c>
      <c r="D3" s="31">
        <v>808</v>
      </c>
      <c r="E3" s="148">
        <v>623</v>
      </c>
    </row>
    <row r="4" spans="1:5" ht="15.6" thickTop="1" thickBot="1">
      <c r="A4" s="30" t="s">
        <v>14</v>
      </c>
      <c r="B4" s="31">
        <v>162</v>
      </c>
      <c r="C4" s="31">
        <v>457</v>
      </c>
      <c r="D4" s="31">
        <v>374</v>
      </c>
      <c r="E4" s="148">
        <v>567</v>
      </c>
    </row>
    <row r="5" spans="1:5" ht="15.6" thickTop="1" thickBot="1">
      <c r="A5" s="30" t="s">
        <v>15</v>
      </c>
      <c r="B5" s="31">
        <v>154</v>
      </c>
      <c r="C5" s="31">
        <v>230</v>
      </c>
      <c r="D5" s="31">
        <v>253</v>
      </c>
      <c r="E5" s="148">
        <v>534.61538461538464</v>
      </c>
    </row>
    <row r="6" spans="1:5" ht="15.6" thickTop="1" thickBot="1">
      <c r="A6" s="30" t="s">
        <v>17</v>
      </c>
      <c r="B6" s="31">
        <v>210</v>
      </c>
      <c r="C6" s="33">
        <v>197</v>
      </c>
      <c r="D6" s="31">
        <v>280</v>
      </c>
      <c r="E6" s="148">
        <v>310.53846153846149</v>
      </c>
    </row>
    <row r="7" spans="1:5" ht="15.6" thickTop="1" thickBot="1">
      <c r="A7" s="30" t="s">
        <v>18</v>
      </c>
      <c r="B7" s="31">
        <v>376</v>
      </c>
      <c r="C7" s="33">
        <v>328</v>
      </c>
      <c r="D7" s="31">
        <v>446</v>
      </c>
      <c r="E7" s="148">
        <v>412.07692307692304</v>
      </c>
    </row>
    <row r="8" spans="1:5" ht="15.6" thickTop="1" thickBot="1">
      <c r="A8" s="30" t="s">
        <v>19</v>
      </c>
      <c r="B8" s="31">
        <v>299</v>
      </c>
      <c r="C8" s="33">
        <v>343</v>
      </c>
      <c r="D8" s="31">
        <v>304</v>
      </c>
      <c r="E8" s="148">
        <v>630.38461538461536</v>
      </c>
    </row>
    <row r="9" spans="1:5" ht="15.6" thickTop="1" thickBot="1">
      <c r="A9" s="30" t="s">
        <v>20</v>
      </c>
      <c r="B9" s="31">
        <v>207</v>
      </c>
      <c r="C9" s="34">
        <f>156+T9</f>
        <v>156</v>
      </c>
      <c r="D9" s="31">
        <v>209</v>
      </c>
      <c r="E9" s="148">
        <v>394.30769230769226</v>
      </c>
    </row>
    <row r="10" spans="1:5" ht="15.6" thickTop="1" thickBot="1">
      <c r="A10" s="30" t="s">
        <v>21</v>
      </c>
      <c r="B10" s="31">
        <v>49</v>
      </c>
      <c r="C10" s="34">
        <f>83+T10</f>
        <v>83</v>
      </c>
      <c r="D10" s="31">
        <v>118</v>
      </c>
      <c r="E10" s="148">
        <v>133.69230769230768</v>
      </c>
    </row>
    <row r="11" spans="1:5" ht="15.6" thickTop="1" thickBot="1">
      <c r="A11" s="30" t="s">
        <v>22</v>
      </c>
      <c r="B11" s="31">
        <v>137</v>
      </c>
      <c r="C11" s="34">
        <f>342+T11</f>
        <v>342</v>
      </c>
      <c r="D11" s="31">
        <v>294</v>
      </c>
      <c r="E11" s="148">
        <v>568</v>
      </c>
    </row>
    <row r="12" spans="1:5" ht="15.6" thickTop="1" thickBot="1">
      <c r="A12" s="30" t="s">
        <v>23</v>
      </c>
      <c r="B12" s="31">
        <v>148</v>
      </c>
      <c r="C12" s="31">
        <v>334</v>
      </c>
      <c r="D12" s="31">
        <v>359</v>
      </c>
      <c r="E12" s="148">
        <v>687</v>
      </c>
    </row>
    <row r="13" spans="1:5" ht="15.6" thickTop="1" thickBot="1">
      <c r="A13" s="30" t="s">
        <v>24</v>
      </c>
      <c r="B13" s="31">
        <v>176</v>
      </c>
      <c r="C13" s="31">
        <v>359</v>
      </c>
      <c r="D13" s="31">
        <v>482</v>
      </c>
      <c r="E13" s="148">
        <v>729</v>
      </c>
    </row>
    <row r="14" spans="1:5" ht="15.6" thickTop="1" thickBot="1">
      <c r="A14" s="30" t="s">
        <v>25</v>
      </c>
      <c r="B14" s="31">
        <v>101</v>
      </c>
      <c r="C14" s="31">
        <v>162</v>
      </c>
      <c r="D14" s="31">
        <v>278</v>
      </c>
      <c r="E14" s="148">
        <v>584.41025641025635</v>
      </c>
    </row>
    <row r="15" spans="1:5" ht="15.6" thickTop="1" thickBot="1">
      <c r="A15" s="35" t="s">
        <v>26</v>
      </c>
      <c r="B15" s="52">
        <f>SUM(B3:B14)</f>
        <v>2235</v>
      </c>
      <c r="C15" s="52">
        <f>SUM(C3:C14)</f>
        <v>3395</v>
      </c>
      <c r="D15" s="36">
        <f>SUM(D3:D14)</f>
        <v>4205</v>
      </c>
      <c r="E15" s="36">
        <f>SUM(E3:E14)</f>
        <v>6174.0256410256407</v>
      </c>
    </row>
    <row r="16" spans="1:5">
      <c r="C16" s="3">
        <f>C15/B15</f>
        <v>1.5190156599552573</v>
      </c>
      <c r="D16" s="3">
        <f>D15/C15</f>
        <v>1.2385861561119293</v>
      </c>
      <c r="E16" s="3">
        <f>E15/D15</f>
        <v>1.468258178603006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F09B-B2F8-41EA-B4B2-73B5ACBEAD9A}">
  <dimension ref="A1:E21"/>
  <sheetViews>
    <sheetView workbookViewId="0">
      <selection activeCell="J16" sqref="J16"/>
    </sheetView>
  </sheetViews>
  <sheetFormatPr defaultRowHeight="14.45"/>
  <cols>
    <col min="1" max="1" width="11.7109375" bestFit="1" customWidth="1"/>
    <col min="3" max="3" width="12.28515625" customWidth="1"/>
    <col min="4" max="4" width="14.42578125" customWidth="1"/>
    <col min="5" max="5" width="13.28515625" bestFit="1" customWidth="1"/>
  </cols>
  <sheetData>
    <row r="1" spans="1:5" ht="15" thickBot="1"/>
    <row r="2" spans="1:5" ht="33" thickTop="1" thickBot="1">
      <c r="A2" s="54"/>
      <c r="B2" s="55" t="s">
        <v>0</v>
      </c>
      <c r="C2" s="55" t="s">
        <v>3</v>
      </c>
      <c r="D2" s="55" t="s">
        <v>50</v>
      </c>
      <c r="E2" s="55" t="s">
        <v>11</v>
      </c>
    </row>
    <row r="3" spans="1:5" ht="15.6" thickTop="1" thickBot="1">
      <c r="A3" s="49" t="s">
        <v>13</v>
      </c>
      <c r="B3" s="148">
        <v>623</v>
      </c>
      <c r="C3" s="148">
        <v>147.33714285714285</v>
      </c>
      <c r="D3" s="147">
        <v>468800</v>
      </c>
      <c r="E3" s="147">
        <v>234400</v>
      </c>
    </row>
    <row r="4" spans="1:5" ht="15.6" thickTop="1" thickBot="1">
      <c r="A4" s="49" t="s">
        <v>14</v>
      </c>
      <c r="B4" s="148">
        <v>567</v>
      </c>
      <c r="C4" s="148">
        <v>162</v>
      </c>
      <c r="D4" s="147">
        <v>529600</v>
      </c>
      <c r="E4" s="147">
        <v>264800</v>
      </c>
    </row>
    <row r="5" spans="1:5" ht="15.6" thickTop="1" thickBot="1">
      <c r="A5" s="49" t="s">
        <v>15</v>
      </c>
      <c r="B5" s="148">
        <v>534.61538461538464</v>
      </c>
      <c r="C5" s="148">
        <v>139</v>
      </c>
      <c r="D5" s="147">
        <v>618400</v>
      </c>
      <c r="E5" s="147">
        <v>309200</v>
      </c>
    </row>
    <row r="6" spans="1:5" ht="15.6" thickTop="1" thickBot="1">
      <c r="A6" s="49" t="s">
        <v>17</v>
      </c>
      <c r="B6" s="148">
        <v>310.53846153846149</v>
      </c>
      <c r="C6" s="148">
        <v>80.739999999999995</v>
      </c>
      <c r="D6" s="147">
        <v>293600</v>
      </c>
      <c r="E6" s="147">
        <v>146800</v>
      </c>
    </row>
    <row r="7" spans="1:5" ht="15.6" thickTop="1" thickBot="1">
      <c r="A7" s="49" t="s">
        <v>18</v>
      </c>
      <c r="B7" s="148">
        <v>412.07692307692304</v>
      </c>
      <c r="C7" s="148">
        <v>107.14</v>
      </c>
      <c r="D7" s="147">
        <v>389600</v>
      </c>
      <c r="E7" s="147">
        <v>194800</v>
      </c>
    </row>
    <row r="8" spans="1:5" ht="15.6" thickTop="1" thickBot="1">
      <c r="A8" s="49" t="s">
        <v>19</v>
      </c>
      <c r="B8" s="148">
        <v>630.38461538461536</v>
      </c>
      <c r="C8" s="148">
        <v>163.9</v>
      </c>
      <c r="D8" s="147">
        <v>596000</v>
      </c>
      <c r="E8" s="147">
        <v>298000</v>
      </c>
    </row>
    <row r="9" spans="1:5" ht="15.6" thickTop="1" thickBot="1">
      <c r="A9" s="49" t="s">
        <v>20</v>
      </c>
      <c r="B9" s="148">
        <v>394.30769230769226</v>
      </c>
      <c r="C9" s="148">
        <v>102.52</v>
      </c>
      <c r="D9" s="147">
        <v>372800</v>
      </c>
      <c r="E9" s="147">
        <v>186400</v>
      </c>
    </row>
    <row r="10" spans="1:5" ht="15.6" thickTop="1" thickBot="1">
      <c r="A10" s="49" t="s">
        <v>21</v>
      </c>
      <c r="B10" s="148">
        <v>133.69230769230768</v>
      </c>
      <c r="C10" s="148">
        <v>34.76</v>
      </c>
      <c r="D10" s="147">
        <v>126400</v>
      </c>
      <c r="E10" s="147">
        <v>63200</v>
      </c>
    </row>
    <row r="11" spans="1:5" ht="15.6" thickTop="1" thickBot="1">
      <c r="A11" s="49" t="s">
        <v>22</v>
      </c>
      <c r="B11" s="148">
        <v>568</v>
      </c>
      <c r="C11" s="148">
        <v>189.42</v>
      </c>
      <c r="D11" s="147">
        <v>688800</v>
      </c>
      <c r="E11" s="147">
        <v>344400</v>
      </c>
    </row>
    <row r="12" spans="1:5" ht="15.6" thickTop="1" thickBot="1">
      <c r="A12" s="49" t="s">
        <v>23</v>
      </c>
      <c r="B12" s="148">
        <v>687</v>
      </c>
      <c r="C12" s="148">
        <v>147.64444444444445</v>
      </c>
      <c r="D12" s="147">
        <v>604000</v>
      </c>
      <c r="E12" s="147">
        <v>302000</v>
      </c>
    </row>
    <row r="13" spans="1:5" ht="15.6" thickTop="1" thickBot="1">
      <c r="A13" s="49" t="s">
        <v>24</v>
      </c>
      <c r="B13" s="148">
        <v>729</v>
      </c>
      <c r="C13" s="148">
        <v>178.73777777777778</v>
      </c>
      <c r="D13" s="147">
        <v>731200</v>
      </c>
      <c r="E13" s="147">
        <v>365600</v>
      </c>
    </row>
    <row r="14" spans="1:5" ht="15.6" thickTop="1" thickBot="1">
      <c r="A14" s="49" t="s">
        <v>25</v>
      </c>
      <c r="B14" s="148">
        <v>584.41025641025635</v>
      </c>
      <c r="C14" s="148">
        <v>151.94666666666666</v>
      </c>
      <c r="D14" s="147">
        <v>621600</v>
      </c>
      <c r="E14" s="147">
        <v>310800</v>
      </c>
    </row>
    <row r="15" spans="1:5" ht="15.6" thickTop="1" thickBot="1">
      <c r="A15" s="35" t="s">
        <v>26</v>
      </c>
      <c r="B15" s="36">
        <f>SUM(B3:B14)</f>
        <v>6174.0256410256407</v>
      </c>
      <c r="C15" s="36">
        <f>SUM(C3:C14)</f>
        <v>1605.1460317460317</v>
      </c>
      <c r="D15" s="61">
        <f>SUM(D3:D14)</f>
        <v>6040800</v>
      </c>
      <c r="E15" s="61">
        <f>SUM(E3:E14)</f>
        <v>3020400</v>
      </c>
    </row>
    <row r="16" spans="1:5" ht="15.6" thickTop="1" thickBot="1"/>
    <row r="17" spans="1:5" ht="33" thickTop="1" thickBot="1">
      <c r="A17" s="38"/>
      <c r="B17" s="38" t="s">
        <v>0</v>
      </c>
      <c r="C17" s="38" t="s">
        <v>3</v>
      </c>
      <c r="D17" s="29" t="s">
        <v>50</v>
      </c>
      <c r="E17" s="29" t="s">
        <v>11</v>
      </c>
    </row>
    <row r="18" spans="1:5" ht="15.6" thickTop="1" thickBot="1">
      <c r="A18" s="49" t="s">
        <v>51</v>
      </c>
      <c r="B18" s="148">
        <f>SUM(B3:B6)</f>
        <v>2035.1538461538462</v>
      </c>
      <c r="C18" s="148">
        <f>SUM(C3:C6)</f>
        <v>529.0771428571428</v>
      </c>
      <c r="D18" s="147">
        <f>SUM(D3:D6)</f>
        <v>1910400</v>
      </c>
      <c r="E18" s="147">
        <f>SUM(E3:E6)</f>
        <v>955200</v>
      </c>
    </row>
    <row r="19" spans="1:5" ht="15.6" thickTop="1" thickBot="1">
      <c r="A19" s="49" t="s">
        <v>52</v>
      </c>
      <c r="B19" s="148">
        <f>SUM(B7:B10)</f>
        <v>1570.4615384615381</v>
      </c>
      <c r="C19" s="148">
        <f>SUM(C7:C10)</f>
        <v>408.32</v>
      </c>
      <c r="D19" s="147">
        <f>SUM(D7:D10)</f>
        <v>1484800</v>
      </c>
      <c r="E19" s="147">
        <f>SUM(E7:E10)</f>
        <v>742400</v>
      </c>
    </row>
    <row r="20" spans="1:5" ht="15.6" thickTop="1" thickBot="1">
      <c r="A20" s="49" t="s">
        <v>53</v>
      </c>
      <c r="B20" s="148">
        <f>SUM(B11:B14)</f>
        <v>2568.4102564102564</v>
      </c>
      <c r="C20" s="148">
        <f>SUM(C11:C14)</f>
        <v>667.74888888888881</v>
      </c>
      <c r="D20" s="147">
        <f>SUM(D11:D14)</f>
        <v>2645600</v>
      </c>
      <c r="E20" s="147">
        <f>SUM(E11:E14)</f>
        <v>1322800</v>
      </c>
    </row>
    <row r="21" spans="1:5" ht="15" thickTop="1">
      <c r="A21" s="35" t="s">
        <v>26</v>
      </c>
      <c r="B21" s="36">
        <f>SUM(B18:B20)</f>
        <v>6174.0256410256407</v>
      </c>
      <c r="C21" s="36">
        <f>SUM(C18:C20)</f>
        <v>1605.1460317460317</v>
      </c>
      <c r="D21" s="40">
        <f>SUM(D18:D20)</f>
        <v>6040800</v>
      </c>
      <c r="E21" s="40">
        <f>SUM(E18:E20)</f>
        <v>3020400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EE7A-2794-41B3-A6F1-0F5FF08B9009}">
  <dimension ref="A2:S36"/>
  <sheetViews>
    <sheetView zoomScaleNormal="100" workbookViewId="0">
      <selection activeCell="H22" sqref="H22"/>
    </sheetView>
  </sheetViews>
  <sheetFormatPr defaultRowHeight="14.45"/>
  <cols>
    <col min="3" max="3" width="10.5703125" customWidth="1"/>
    <col min="4" max="4" width="10.85546875" customWidth="1"/>
    <col min="5" max="5" width="13.28515625" bestFit="1" customWidth="1"/>
    <col min="6" max="7" width="10.42578125" bestFit="1" customWidth="1"/>
    <col min="8" max="8" width="10.140625" customWidth="1"/>
    <col min="9" max="9" width="10.5703125" customWidth="1"/>
    <col min="10" max="10" width="12.28515625" customWidth="1"/>
    <col min="12" max="12" width="10.5703125" customWidth="1"/>
    <col min="13" max="13" width="10.28515625" customWidth="1"/>
    <col min="14" max="14" width="8.85546875" bestFit="1" customWidth="1"/>
  </cols>
  <sheetData>
    <row r="2" spans="1:19">
      <c r="B2" s="1" t="s">
        <v>54</v>
      </c>
      <c r="Q2" s="1"/>
      <c r="R2" s="1"/>
      <c r="S2" s="1"/>
    </row>
    <row r="3" spans="1:19">
      <c r="B3" s="181" t="s">
        <v>55</v>
      </c>
      <c r="C3" s="181"/>
      <c r="D3" s="181"/>
      <c r="E3" t="s">
        <v>56</v>
      </c>
      <c r="Q3" s="1"/>
      <c r="R3" s="2"/>
      <c r="S3" s="3"/>
    </row>
    <row r="4" spans="1:19">
      <c r="B4" s="181" t="s">
        <v>57</v>
      </c>
      <c r="C4" s="181"/>
      <c r="D4" s="181"/>
      <c r="E4" t="s">
        <v>58</v>
      </c>
      <c r="Q4" s="1"/>
      <c r="R4" s="2"/>
    </row>
    <row r="5" spans="1:19">
      <c r="B5" s="181" t="s">
        <v>59</v>
      </c>
      <c r="C5" s="181"/>
      <c r="D5" s="181"/>
      <c r="E5" s="4" t="s">
        <v>60</v>
      </c>
    </row>
    <row r="6" spans="1:19">
      <c r="B6" s="181" t="s">
        <v>4</v>
      </c>
      <c r="C6" s="181"/>
      <c r="D6" s="181"/>
      <c r="E6" s="5">
        <v>0.26</v>
      </c>
    </row>
    <row r="9" spans="1:19" ht="39.6" thickBot="1">
      <c r="A9" s="182"/>
      <c r="B9" s="183"/>
      <c r="C9" s="6" t="s">
        <v>61</v>
      </c>
      <c r="D9" s="6" t="s">
        <v>62</v>
      </c>
      <c r="E9" s="44" t="s">
        <v>39</v>
      </c>
      <c r="F9" s="44" t="s">
        <v>57</v>
      </c>
      <c r="G9" s="6" t="s">
        <v>63</v>
      </c>
      <c r="H9" s="44" t="s">
        <v>44</v>
      </c>
      <c r="I9" s="7" t="s">
        <v>64</v>
      </c>
      <c r="J9" s="7" t="s">
        <v>65</v>
      </c>
      <c r="K9" s="45" t="s">
        <v>66</v>
      </c>
      <c r="L9" s="7" t="s">
        <v>64</v>
      </c>
      <c r="M9" s="45" t="s">
        <v>67</v>
      </c>
      <c r="N9" s="45" t="s">
        <v>68</v>
      </c>
      <c r="P9" s="7" t="s">
        <v>69</v>
      </c>
      <c r="Q9" s="7" t="s">
        <v>70</v>
      </c>
      <c r="R9" s="7" t="s">
        <v>71</v>
      </c>
      <c r="S9" s="7" t="s">
        <v>70</v>
      </c>
    </row>
    <row r="10" spans="1:19">
      <c r="A10" s="184" t="s">
        <v>72</v>
      </c>
      <c r="B10" s="8" t="s">
        <v>73</v>
      </c>
      <c r="C10" s="9">
        <v>301073</v>
      </c>
      <c r="D10" s="9">
        <f>C10/100*115</f>
        <v>346233.95</v>
      </c>
      <c r="E10" s="9">
        <f>D10/10*3</f>
        <v>103870.18500000001</v>
      </c>
      <c r="F10" s="9">
        <f>E10*2</f>
        <v>207740.37000000002</v>
      </c>
      <c r="G10" s="9">
        <f>F10/100*125</f>
        <v>259675.46250000002</v>
      </c>
      <c r="H10" s="10">
        <f>G10/2800</f>
        <v>92.741236607142866</v>
      </c>
      <c r="I10" s="10">
        <v>180</v>
      </c>
      <c r="J10" s="9">
        <f>G10/3*10</f>
        <v>865584.875</v>
      </c>
      <c r="K10" s="10">
        <f>J10/2800</f>
        <v>309.13745535714287</v>
      </c>
      <c r="L10" s="10">
        <v>431</v>
      </c>
      <c r="M10" s="11">
        <f>I10/L10</f>
        <v>0.41763341067285381</v>
      </c>
      <c r="N10" s="46">
        <v>2800</v>
      </c>
      <c r="P10" s="10">
        <v>404</v>
      </c>
      <c r="Q10" s="12">
        <f>(L10-P10)/P10</f>
        <v>6.6831683168316836E-2</v>
      </c>
      <c r="R10" s="10">
        <v>122</v>
      </c>
      <c r="S10" s="12">
        <f>(I10-R10)/R10</f>
        <v>0.47540983606557374</v>
      </c>
    </row>
    <row r="11" spans="1:19">
      <c r="A11" s="185"/>
      <c r="B11" s="8" t="s">
        <v>74</v>
      </c>
      <c r="C11" s="9">
        <v>293568</v>
      </c>
      <c r="D11" s="9">
        <f t="shared" ref="D11:D29" si="0">C11/100*115</f>
        <v>337603.19999999995</v>
      </c>
      <c r="E11" s="9">
        <f t="shared" ref="E11:E29" si="1">D11/10*3</f>
        <v>101280.95999999998</v>
      </c>
      <c r="F11" s="9">
        <f t="shared" ref="F11:F29" si="2">E11*2</f>
        <v>202561.91999999995</v>
      </c>
      <c r="G11" s="9">
        <f t="shared" ref="G11:G29" si="3">F11/100*125</f>
        <v>253202.39999999997</v>
      </c>
      <c r="H11" s="10">
        <f t="shared" ref="H11:H27" si="4">G11/2800</f>
        <v>90.429428571428559</v>
      </c>
      <c r="I11" s="10">
        <v>110</v>
      </c>
      <c r="J11" s="9">
        <f t="shared" ref="J11:J29" si="5">G11/3*10</f>
        <v>844007.99999999988</v>
      </c>
      <c r="K11" s="10">
        <f t="shared" ref="K11:K27" si="6">J11/2800</f>
        <v>301.43142857142851</v>
      </c>
      <c r="L11" s="10">
        <v>397</v>
      </c>
      <c r="M11" s="11">
        <f t="shared" ref="M11:M25" si="7">I11/L11</f>
        <v>0.2770780856423174</v>
      </c>
      <c r="N11" s="46">
        <v>2800</v>
      </c>
      <c r="P11" s="10">
        <v>457</v>
      </c>
      <c r="Q11" s="13">
        <f t="shared" ref="Q11:Q29" si="8">(L11-P11)/P11</f>
        <v>-0.13129102844638948</v>
      </c>
      <c r="R11" s="10">
        <v>91</v>
      </c>
      <c r="S11" s="12">
        <f t="shared" ref="S11:S27" si="9">(I11-R11)/R11</f>
        <v>0.2087912087912088</v>
      </c>
    </row>
    <row r="12" spans="1:19">
      <c r="A12" s="185"/>
      <c r="B12" s="8" t="s">
        <v>75</v>
      </c>
      <c r="C12" s="9">
        <v>447392</v>
      </c>
      <c r="D12" s="9">
        <f t="shared" si="0"/>
        <v>514500.8</v>
      </c>
      <c r="E12" s="9">
        <f t="shared" si="1"/>
        <v>154350.24</v>
      </c>
      <c r="F12" s="9">
        <f t="shared" si="2"/>
        <v>308700.48</v>
      </c>
      <c r="G12" s="9">
        <f t="shared" si="3"/>
        <v>385875.6</v>
      </c>
      <c r="H12" s="10">
        <f t="shared" si="4"/>
        <v>137.81271428571426</v>
      </c>
      <c r="I12" s="10">
        <v>82</v>
      </c>
      <c r="J12" s="9">
        <f t="shared" si="5"/>
        <v>1286252</v>
      </c>
      <c r="K12" s="10">
        <f t="shared" si="6"/>
        <v>459.37571428571431</v>
      </c>
      <c r="L12" s="10">
        <v>385</v>
      </c>
      <c r="M12" s="11">
        <f t="shared" si="7"/>
        <v>0.21298701298701297</v>
      </c>
      <c r="N12" s="46">
        <v>2800</v>
      </c>
      <c r="P12" s="10">
        <v>230</v>
      </c>
      <c r="Q12" s="12">
        <f t="shared" si="8"/>
        <v>0.67391304347826086</v>
      </c>
      <c r="R12" s="10">
        <v>72</v>
      </c>
      <c r="S12" s="12">
        <f t="shared" si="9"/>
        <v>0.1388888888888889</v>
      </c>
    </row>
    <row r="13" spans="1:19">
      <c r="A13" s="185"/>
      <c r="B13" s="14" t="s">
        <v>28</v>
      </c>
      <c r="C13" s="15">
        <v>1042034</v>
      </c>
      <c r="D13" s="15">
        <f t="shared" si="0"/>
        <v>1198339.1000000001</v>
      </c>
      <c r="E13" s="15">
        <f t="shared" si="1"/>
        <v>359501.73</v>
      </c>
      <c r="F13" s="15">
        <f t="shared" si="2"/>
        <v>719003.46</v>
      </c>
      <c r="G13" s="15">
        <f t="shared" si="3"/>
        <v>898754.32499999995</v>
      </c>
      <c r="H13" s="16">
        <f t="shared" si="4"/>
        <v>320.98368749999997</v>
      </c>
      <c r="I13" s="16">
        <f>SUM(I10:I12)</f>
        <v>372</v>
      </c>
      <c r="J13" s="16">
        <f t="shared" si="5"/>
        <v>2995847.7499999995</v>
      </c>
      <c r="K13" s="16">
        <f t="shared" si="6"/>
        <v>1069.9456249999998</v>
      </c>
      <c r="L13" s="16">
        <f>SUM(L10:L12)</f>
        <v>1213</v>
      </c>
      <c r="M13" s="17">
        <f>I13/L13</f>
        <v>0.30667765869744434</v>
      </c>
      <c r="N13" s="47">
        <v>2800</v>
      </c>
      <c r="P13" s="16">
        <f>SUM(P10:P12)</f>
        <v>1091</v>
      </c>
      <c r="Q13" s="17">
        <f>(L13-P13)/P13</f>
        <v>0.11182401466544455</v>
      </c>
      <c r="R13" s="16">
        <f>SUM(R10:R12)</f>
        <v>285</v>
      </c>
      <c r="S13" s="17">
        <f t="shared" si="9"/>
        <v>0.30526315789473685</v>
      </c>
    </row>
    <row r="14" spans="1:19">
      <c r="A14" s="185"/>
      <c r="B14" s="8" t="s">
        <v>76</v>
      </c>
      <c r="C14" s="9">
        <v>265436</v>
      </c>
      <c r="D14" s="9">
        <f t="shared" si="0"/>
        <v>305251.40000000002</v>
      </c>
      <c r="E14" s="9">
        <f t="shared" si="1"/>
        <v>91575.420000000013</v>
      </c>
      <c r="F14" s="9">
        <f t="shared" si="2"/>
        <v>183150.84000000003</v>
      </c>
      <c r="G14" s="9">
        <f t="shared" si="3"/>
        <v>228938.55000000002</v>
      </c>
      <c r="H14" s="10">
        <f t="shared" si="4"/>
        <v>81.763767857142867</v>
      </c>
      <c r="I14" s="10">
        <v>100</v>
      </c>
      <c r="J14" s="9">
        <f t="shared" si="5"/>
        <v>763128.5</v>
      </c>
      <c r="K14" s="10">
        <f>J14/2800</f>
        <v>272.54589285714286</v>
      </c>
      <c r="L14" s="10">
        <v>345</v>
      </c>
      <c r="M14" s="11">
        <f>I14/L14</f>
        <v>0.28985507246376813</v>
      </c>
      <c r="N14" s="46">
        <v>2800</v>
      </c>
      <c r="P14" s="10">
        <v>197</v>
      </c>
      <c r="Q14" s="12">
        <f t="shared" si="8"/>
        <v>0.75126903553299496</v>
      </c>
      <c r="R14" s="10">
        <v>60</v>
      </c>
      <c r="S14" s="12">
        <f t="shared" si="9"/>
        <v>0.66666666666666663</v>
      </c>
    </row>
    <row r="15" spans="1:19">
      <c r="A15" s="185"/>
      <c r="B15" s="8" t="s">
        <v>18</v>
      </c>
      <c r="C15" s="9">
        <v>278449</v>
      </c>
      <c r="D15" s="9">
        <f t="shared" si="0"/>
        <v>320216.34999999998</v>
      </c>
      <c r="E15" s="9">
        <f t="shared" si="1"/>
        <v>96064.904999999999</v>
      </c>
      <c r="F15" s="9">
        <f t="shared" si="2"/>
        <v>192129.81</v>
      </c>
      <c r="G15" s="9">
        <f t="shared" si="3"/>
        <v>240162.26250000001</v>
      </c>
      <c r="H15" s="10">
        <f t="shared" si="4"/>
        <v>85.772236607142858</v>
      </c>
      <c r="I15" s="10">
        <v>110</v>
      </c>
      <c r="J15" s="9">
        <f t="shared" si="5"/>
        <v>800540.87500000012</v>
      </c>
      <c r="K15" s="10">
        <f t="shared" si="6"/>
        <v>285.90745535714291</v>
      </c>
      <c r="L15" s="10">
        <v>333</v>
      </c>
      <c r="M15" s="11">
        <f t="shared" si="7"/>
        <v>0.33033033033033032</v>
      </c>
      <c r="N15" s="46">
        <v>2800</v>
      </c>
      <c r="P15" s="10">
        <v>328</v>
      </c>
      <c r="Q15" s="12">
        <f t="shared" si="8"/>
        <v>1.524390243902439E-2</v>
      </c>
      <c r="R15" s="10">
        <v>120</v>
      </c>
      <c r="S15" s="13">
        <f t="shared" si="9"/>
        <v>-8.3333333333333329E-2</v>
      </c>
    </row>
    <row r="16" spans="1:19">
      <c r="A16" s="185"/>
      <c r="B16" s="8" t="s">
        <v>77</v>
      </c>
      <c r="C16" s="9">
        <v>444313</v>
      </c>
      <c r="D16" s="9">
        <f t="shared" si="0"/>
        <v>510959.95</v>
      </c>
      <c r="E16" s="9">
        <f t="shared" si="1"/>
        <v>153287.98500000002</v>
      </c>
      <c r="F16" s="9">
        <f t="shared" si="2"/>
        <v>306575.97000000003</v>
      </c>
      <c r="G16" s="9">
        <f t="shared" si="3"/>
        <v>383219.96250000008</v>
      </c>
      <c r="H16" s="10">
        <f t="shared" si="4"/>
        <v>136.86427232142859</v>
      </c>
      <c r="I16" s="10">
        <v>136</v>
      </c>
      <c r="J16" s="9">
        <f t="shared" si="5"/>
        <v>1277399.8750000002</v>
      </c>
      <c r="K16" s="10">
        <f t="shared" si="6"/>
        <v>456.21424107142866</v>
      </c>
      <c r="L16" s="10">
        <v>382</v>
      </c>
      <c r="M16" s="11">
        <f t="shared" si="7"/>
        <v>0.35602094240837695</v>
      </c>
      <c r="N16" s="46">
        <v>2800</v>
      </c>
      <c r="P16" s="10">
        <v>343</v>
      </c>
      <c r="Q16" s="12">
        <f t="shared" si="8"/>
        <v>0.11370262390670553</v>
      </c>
      <c r="R16" s="10">
        <v>135</v>
      </c>
      <c r="S16" s="13">
        <f t="shared" si="9"/>
        <v>7.4074074074074077E-3</v>
      </c>
    </row>
    <row r="17" spans="1:19">
      <c r="A17" s="185"/>
      <c r="B17" s="14" t="s">
        <v>29</v>
      </c>
      <c r="C17" s="15">
        <v>988198</v>
      </c>
      <c r="D17" s="15">
        <f t="shared" si="0"/>
        <v>1136427.7</v>
      </c>
      <c r="E17" s="15">
        <f t="shared" si="1"/>
        <v>340928.30999999994</v>
      </c>
      <c r="F17" s="15">
        <f t="shared" si="2"/>
        <v>681856.61999999988</v>
      </c>
      <c r="G17" s="15">
        <f t="shared" si="3"/>
        <v>852320.77499999979</v>
      </c>
      <c r="H17" s="16">
        <f t="shared" si="4"/>
        <v>304.4002767857142</v>
      </c>
      <c r="I17" s="16">
        <f>SUM(I14:I16)</f>
        <v>346</v>
      </c>
      <c r="J17" s="15">
        <f t="shared" si="5"/>
        <v>2841069.2499999991</v>
      </c>
      <c r="K17" s="16">
        <f t="shared" si="6"/>
        <v>1014.6675892857139</v>
      </c>
      <c r="L17" s="16">
        <f>SUM(L14:L16)</f>
        <v>1060</v>
      </c>
      <c r="M17" s="17">
        <f>I17/L17</f>
        <v>0.32641509433962262</v>
      </c>
      <c r="N17" s="47">
        <v>2800</v>
      </c>
      <c r="P17" s="16">
        <f>SUM(P14:P16)</f>
        <v>868</v>
      </c>
      <c r="Q17" s="17">
        <f t="shared" si="8"/>
        <v>0.22119815668202766</v>
      </c>
      <c r="R17" s="16">
        <f>SUM(R14:R16)</f>
        <v>315</v>
      </c>
      <c r="S17" s="17">
        <f t="shared" si="9"/>
        <v>9.841269841269841E-2</v>
      </c>
    </row>
    <row r="18" spans="1:19">
      <c r="A18" s="185"/>
      <c r="B18" s="14" t="s">
        <v>78</v>
      </c>
      <c r="C18" s="15">
        <v>2030232</v>
      </c>
      <c r="D18" s="15">
        <f t="shared" si="0"/>
        <v>2334766.7999999998</v>
      </c>
      <c r="E18" s="15">
        <f t="shared" si="1"/>
        <v>700430.04</v>
      </c>
      <c r="F18" s="15">
        <f t="shared" si="2"/>
        <v>1400860.08</v>
      </c>
      <c r="G18" s="15">
        <f t="shared" si="3"/>
        <v>1751075.1</v>
      </c>
      <c r="H18" s="16">
        <f t="shared" si="4"/>
        <v>625.38396428571434</v>
      </c>
      <c r="I18" s="16">
        <f>I17+I13</f>
        <v>718</v>
      </c>
      <c r="J18" s="15">
        <f t="shared" si="5"/>
        <v>5836917.0000000009</v>
      </c>
      <c r="K18" s="16">
        <f t="shared" si="6"/>
        <v>2084.6132142857145</v>
      </c>
      <c r="L18" s="16">
        <f>L13+L17</f>
        <v>2273</v>
      </c>
      <c r="M18" s="17">
        <f>I18/L18</f>
        <v>0.31588209414870216</v>
      </c>
      <c r="N18" s="47">
        <v>2800</v>
      </c>
      <c r="P18" s="16">
        <f>P17+P13</f>
        <v>1959</v>
      </c>
      <c r="Q18" s="17">
        <f t="shared" si="8"/>
        <v>0.16028586013272078</v>
      </c>
      <c r="R18" s="16">
        <f>R17+R13</f>
        <v>600</v>
      </c>
      <c r="S18" s="17">
        <f t="shared" si="9"/>
        <v>0.19666666666666666</v>
      </c>
    </row>
    <row r="19" spans="1:19">
      <c r="A19" s="185"/>
      <c r="B19" s="8" t="s">
        <v>79</v>
      </c>
      <c r="C19" s="9">
        <v>231995</v>
      </c>
      <c r="D19" s="9">
        <f t="shared" si="0"/>
        <v>266794.25</v>
      </c>
      <c r="E19" s="9">
        <f t="shared" si="1"/>
        <v>80038.274999999994</v>
      </c>
      <c r="F19" s="9">
        <f t="shared" si="2"/>
        <v>160076.54999999999</v>
      </c>
      <c r="G19" s="9">
        <f t="shared" si="3"/>
        <v>200095.6875</v>
      </c>
      <c r="H19" s="10">
        <f t="shared" si="4"/>
        <v>71.462745535714291</v>
      </c>
      <c r="I19" s="10">
        <v>57</v>
      </c>
      <c r="J19" s="9">
        <f t="shared" si="5"/>
        <v>666985.625</v>
      </c>
      <c r="K19" s="10">
        <f t="shared" si="6"/>
        <v>238.20915178571428</v>
      </c>
      <c r="L19" s="10">
        <v>229</v>
      </c>
      <c r="M19" s="11">
        <f t="shared" si="7"/>
        <v>0.24890829694323144</v>
      </c>
      <c r="N19" s="46">
        <v>2800</v>
      </c>
      <c r="P19" s="10">
        <f>156+AG16</f>
        <v>156</v>
      </c>
      <c r="Q19" s="12">
        <f t="shared" si="8"/>
        <v>0.46794871794871795</v>
      </c>
      <c r="R19" s="10">
        <v>50</v>
      </c>
      <c r="S19" s="13">
        <f t="shared" si="9"/>
        <v>0.14000000000000001</v>
      </c>
    </row>
    <row r="20" spans="1:19">
      <c r="A20" s="185"/>
      <c r="B20" s="8" t="s">
        <v>80</v>
      </c>
      <c r="C20" s="9">
        <v>147292</v>
      </c>
      <c r="D20" s="9">
        <f t="shared" si="0"/>
        <v>169385.80000000002</v>
      </c>
      <c r="E20" s="9">
        <f t="shared" si="1"/>
        <v>50815.740000000005</v>
      </c>
      <c r="F20" s="9">
        <f t="shared" si="2"/>
        <v>101631.48000000001</v>
      </c>
      <c r="G20" s="9">
        <f t="shared" si="3"/>
        <v>127039.35</v>
      </c>
      <c r="H20" s="10">
        <f t="shared" si="4"/>
        <v>45.37119642857143</v>
      </c>
      <c r="I20" s="10">
        <v>36.296957142857146</v>
      </c>
      <c r="J20" s="9">
        <f t="shared" si="5"/>
        <v>423464.50000000006</v>
      </c>
      <c r="K20" s="10">
        <f t="shared" si="6"/>
        <v>151.23732142857145</v>
      </c>
      <c r="L20" s="10">
        <v>145</v>
      </c>
      <c r="M20" s="11">
        <f t="shared" si="7"/>
        <v>0.25032384236453203</v>
      </c>
      <c r="N20" s="46">
        <v>2800</v>
      </c>
      <c r="P20" s="10">
        <f>83+AG17</f>
        <v>83</v>
      </c>
      <c r="Q20" s="12">
        <f t="shared" si="8"/>
        <v>0.74698795180722888</v>
      </c>
      <c r="R20" s="10">
        <v>16</v>
      </c>
      <c r="S20" s="12">
        <f t="shared" si="9"/>
        <v>1.2685598214285716</v>
      </c>
    </row>
    <row r="21" spans="1:19">
      <c r="A21" s="185"/>
      <c r="B21" s="8" t="s">
        <v>81</v>
      </c>
      <c r="C21" s="9">
        <v>498895</v>
      </c>
      <c r="D21" s="9">
        <f t="shared" si="0"/>
        <v>573729.25</v>
      </c>
      <c r="E21" s="9">
        <f t="shared" si="1"/>
        <v>172118.77500000002</v>
      </c>
      <c r="F21" s="9">
        <f t="shared" si="2"/>
        <v>344237.55000000005</v>
      </c>
      <c r="G21" s="9">
        <f t="shared" si="3"/>
        <v>430296.93750000006</v>
      </c>
      <c r="H21" s="10">
        <f t="shared" si="4"/>
        <v>153.67747767857145</v>
      </c>
      <c r="I21" s="10">
        <v>163</v>
      </c>
      <c r="J21" s="9">
        <f t="shared" si="5"/>
        <v>1434323.1250000002</v>
      </c>
      <c r="K21" s="10">
        <f t="shared" si="6"/>
        <v>512.25825892857154</v>
      </c>
      <c r="L21" s="10">
        <v>492</v>
      </c>
      <c r="M21" s="11">
        <f t="shared" si="7"/>
        <v>0.33130081300813008</v>
      </c>
      <c r="N21" s="46">
        <v>2800</v>
      </c>
      <c r="P21" s="10">
        <f>342+AG18</f>
        <v>342</v>
      </c>
      <c r="Q21" s="12">
        <f t="shared" si="8"/>
        <v>0.43859649122807015</v>
      </c>
      <c r="R21" s="10">
        <v>104</v>
      </c>
      <c r="S21" s="12">
        <f t="shared" si="9"/>
        <v>0.56730769230769229</v>
      </c>
    </row>
    <row r="22" spans="1:19">
      <c r="A22" s="185"/>
      <c r="B22" s="14" t="s">
        <v>30</v>
      </c>
      <c r="C22" s="15">
        <v>878182</v>
      </c>
      <c r="D22" s="15">
        <f t="shared" si="0"/>
        <v>1009909.2999999999</v>
      </c>
      <c r="E22" s="15">
        <f t="shared" si="1"/>
        <v>302972.78999999998</v>
      </c>
      <c r="F22" s="15">
        <f t="shared" si="2"/>
        <v>605945.57999999996</v>
      </c>
      <c r="G22" s="15">
        <f t="shared" si="3"/>
        <v>757431.97499999998</v>
      </c>
      <c r="H22" s="16">
        <f t="shared" si="4"/>
        <v>270.51141964285711</v>
      </c>
      <c r="I22" s="16">
        <f>SUM(I19:I21)</f>
        <v>256.29695714285714</v>
      </c>
      <c r="J22" s="15">
        <f t="shared" si="5"/>
        <v>2524773.25</v>
      </c>
      <c r="K22" s="16">
        <f t="shared" si="6"/>
        <v>901.7047321428571</v>
      </c>
      <c r="L22" s="16">
        <f>SUM(L19:L21)</f>
        <v>866</v>
      </c>
      <c r="M22" s="17">
        <f>I22/L22</f>
        <v>0.29595491586935002</v>
      </c>
      <c r="N22" s="47">
        <v>2800</v>
      </c>
      <c r="P22" s="16">
        <f>SUM(P19:P21)</f>
        <v>581</v>
      </c>
      <c r="Q22" s="17">
        <f t="shared" si="8"/>
        <v>0.49053356282271943</v>
      </c>
      <c r="R22" s="16">
        <f>SUM(R19:R21)</f>
        <v>170</v>
      </c>
      <c r="S22" s="17">
        <f t="shared" si="9"/>
        <v>0.50762915966386557</v>
      </c>
    </row>
    <row r="23" spans="1:19">
      <c r="A23" s="185"/>
      <c r="B23" s="8" t="s">
        <v>82</v>
      </c>
      <c r="C23" s="9">
        <v>490149</v>
      </c>
      <c r="D23" s="9">
        <f t="shared" si="0"/>
        <v>563671.35</v>
      </c>
      <c r="E23" s="9">
        <f t="shared" si="1"/>
        <v>169101.40499999997</v>
      </c>
      <c r="F23" s="9">
        <f t="shared" si="2"/>
        <v>338202.80999999994</v>
      </c>
      <c r="G23" s="9">
        <f t="shared" si="3"/>
        <v>422753.51249999995</v>
      </c>
      <c r="H23" s="10">
        <f t="shared" si="4"/>
        <v>150.98339732142855</v>
      </c>
      <c r="I23" s="10">
        <v>131</v>
      </c>
      <c r="J23" s="9">
        <f t="shared" si="5"/>
        <v>1409178.375</v>
      </c>
      <c r="K23" s="10">
        <f t="shared" si="6"/>
        <v>503.27799107142857</v>
      </c>
      <c r="L23" s="10">
        <v>483.14687142857133</v>
      </c>
      <c r="M23" s="11">
        <f t="shared" si="7"/>
        <v>0.27113908367585715</v>
      </c>
      <c r="N23" s="46">
        <v>2800</v>
      </c>
      <c r="P23" s="10">
        <v>334</v>
      </c>
      <c r="Q23" s="12">
        <f t="shared" si="8"/>
        <v>0.44654751924721953</v>
      </c>
      <c r="R23" s="10">
        <v>85</v>
      </c>
      <c r="S23" s="12">
        <f t="shared" si="9"/>
        <v>0.54117647058823526</v>
      </c>
    </row>
    <row r="24" spans="1:19">
      <c r="A24" s="185"/>
      <c r="B24" s="8" t="s">
        <v>83</v>
      </c>
      <c r="C24" s="9">
        <v>489004</v>
      </c>
      <c r="D24" s="9">
        <f t="shared" si="0"/>
        <v>562354.6</v>
      </c>
      <c r="E24" s="9">
        <f t="shared" si="1"/>
        <v>168706.38</v>
      </c>
      <c r="F24" s="9">
        <f t="shared" si="2"/>
        <v>337412.76</v>
      </c>
      <c r="G24" s="9">
        <f t="shared" si="3"/>
        <v>421765.95</v>
      </c>
      <c r="H24" s="10">
        <f t="shared" si="4"/>
        <v>150.63069642857144</v>
      </c>
      <c r="I24" s="10">
        <v>135</v>
      </c>
      <c r="J24" s="9">
        <f t="shared" si="5"/>
        <v>1405886.5</v>
      </c>
      <c r="K24" s="10">
        <f t="shared" si="6"/>
        <v>502.10232142857143</v>
      </c>
      <c r="L24" s="10">
        <v>482.01822857142861</v>
      </c>
      <c r="M24" s="11">
        <f t="shared" si="7"/>
        <v>0.2800723956023477</v>
      </c>
      <c r="N24" s="46">
        <v>2800</v>
      </c>
      <c r="P24" s="10">
        <v>359</v>
      </c>
      <c r="Q24" s="12">
        <f t="shared" si="8"/>
        <v>0.3426691603660964</v>
      </c>
      <c r="R24" s="10">
        <v>71</v>
      </c>
      <c r="S24" s="12">
        <f t="shared" si="9"/>
        <v>0.90140845070422537</v>
      </c>
    </row>
    <row r="25" spans="1:19">
      <c r="A25" s="185"/>
      <c r="B25" s="8" t="s">
        <v>84</v>
      </c>
      <c r="C25" s="9">
        <v>317118</v>
      </c>
      <c r="D25" s="9">
        <f t="shared" si="0"/>
        <v>364685.69999999995</v>
      </c>
      <c r="E25" s="9">
        <f t="shared" si="1"/>
        <v>109405.70999999998</v>
      </c>
      <c r="F25" s="9">
        <f t="shared" si="2"/>
        <v>218811.41999999995</v>
      </c>
      <c r="G25" s="9">
        <f t="shared" si="3"/>
        <v>273514.27499999997</v>
      </c>
      <c r="H25" s="10">
        <f t="shared" si="4"/>
        <v>97.683669642857126</v>
      </c>
      <c r="I25" s="10">
        <v>55</v>
      </c>
      <c r="J25" s="9">
        <f t="shared" si="5"/>
        <v>911714.24999999988</v>
      </c>
      <c r="K25" s="10">
        <f t="shared" si="6"/>
        <v>325.61223214285712</v>
      </c>
      <c r="L25" s="10">
        <v>213</v>
      </c>
      <c r="M25" s="11">
        <f t="shared" si="7"/>
        <v>0.25821596244131456</v>
      </c>
      <c r="N25" s="46">
        <v>2800</v>
      </c>
      <c r="P25" s="10">
        <v>132</v>
      </c>
      <c r="Q25" s="12">
        <f t="shared" si="8"/>
        <v>0.61363636363636365</v>
      </c>
      <c r="R25" s="10">
        <v>18</v>
      </c>
      <c r="S25" s="12">
        <f t="shared" si="9"/>
        <v>2.0555555555555554</v>
      </c>
    </row>
    <row r="26" spans="1:19">
      <c r="A26" s="185"/>
      <c r="B26" s="14" t="s">
        <v>31</v>
      </c>
      <c r="C26" s="15">
        <v>1296271</v>
      </c>
      <c r="D26" s="15">
        <f t="shared" si="0"/>
        <v>1490711.65</v>
      </c>
      <c r="E26" s="15">
        <f t="shared" si="1"/>
        <v>447213.49499999994</v>
      </c>
      <c r="F26" s="15">
        <f t="shared" si="2"/>
        <v>894426.98999999987</v>
      </c>
      <c r="G26" s="15">
        <f t="shared" si="3"/>
        <v>1118033.7374999998</v>
      </c>
      <c r="H26" s="16">
        <f t="shared" si="4"/>
        <v>399.29776339285706</v>
      </c>
      <c r="I26" s="16">
        <f>SUM(I23:I25)</f>
        <v>321</v>
      </c>
      <c r="J26" s="15">
        <f t="shared" si="5"/>
        <v>3726779.1249999991</v>
      </c>
      <c r="K26" s="16">
        <f t="shared" si="6"/>
        <v>1330.9925446428567</v>
      </c>
      <c r="L26" s="16">
        <f>SUM(L23:L25)</f>
        <v>1178.1650999999999</v>
      </c>
      <c r="M26" s="17">
        <f>I26/L26</f>
        <v>0.27245756982616443</v>
      </c>
      <c r="N26" s="47">
        <v>2800</v>
      </c>
      <c r="P26" s="16">
        <f>SUM(P23:P25)</f>
        <v>825</v>
      </c>
      <c r="Q26" s="17">
        <f t="shared" si="8"/>
        <v>0.42807890909090901</v>
      </c>
      <c r="R26" s="16">
        <f>SUM(R23:R25)</f>
        <v>174</v>
      </c>
      <c r="S26" s="17">
        <f t="shared" si="9"/>
        <v>0.84482758620689657</v>
      </c>
    </row>
    <row r="27" spans="1:19">
      <c r="A27" s="185"/>
      <c r="B27" s="14" t="s">
        <v>85</v>
      </c>
      <c r="C27" s="15">
        <v>2174453</v>
      </c>
      <c r="D27" s="15">
        <f t="shared" si="0"/>
        <v>2500620.9499999997</v>
      </c>
      <c r="E27" s="15">
        <f t="shared" si="1"/>
        <v>750186.28499999992</v>
      </c>
      <c r="F27" s="15">
        <f t="shared" si="2"/>
        <v>1500372.5699999998</v>
      </c>
      <c r="G27" s="15">
        <f t="shared" si="3"/>
        <v>1875465.7124999999</v>
      </c>
      <c r="H27" s="16">
        <f t="shared" si="4"/>
        <v>669.80918303571423</v>
      </c>
      <c r="I27" s="16">
        <f>I26+I22</f>
        <v>577.29695714285708</v>
      </c>
      <c r="J27" s="15">
        <f t="shared" si="5"/>
        <v>6251552.3749999991</v>
      </c>
      <c r="K27" s="16">
        <f t="shared" si="6"/>
        <v>2232.6972767857142</v>
      </c>
      <c r="L27" s="16">
        <f>SUM(L26+L22)</f>
        <v>2044.1650999999999</v>
      </c>
      <c r="M27" s="17">
        <f>I27/L27</f>
        <v>0.28241209926872202</v>
      </c>
      <c r="N27" s="47">
        <v>2800</v>
      </c>
      <c r="P27" s="16">
        <f>P26+P22</f>
        <v>1406</v>
      </c>
      <c r="Q27" s="17">
        <f t="shared" si="8"/>
        <v>0.4538869843527738</v>
      </c>
      <c r="R27" s="16">
        <f>R26+R22</f>
        <v>344</v>
      </c>
      <c r="S27" s="17">
        <f t="shared" si="9"/>
        <v>0.67818882890365428</v>
      </c>
    </row>
    <row r="28" spans="1:19">
      <c r="A28" s="186"/>
      <c r="B28" s="186"/>
      <c r="C28" s="18"/>
      <c r="D28" s="18"/>
      <c r="E28" s="18"/>
      <c r="F28" s="18"/>
      <c r="G28" s="9"/>
      <c r="H28" s="19"/>
      <c r="I28" s="19"/>
      <c r="J28" s="9"/>
      <c r="K28" s="20"/>
      <c r="M28" s="5"/>
      <c r="N28" s="5"/>
      <c r="Q28" s="21"/>
      <c r="S28" s="21"/>
    </row>
    <row r="29" spans="1:19">
      <c r="A29" s="22"/>
      <c r="B29" s="23" t="s">
        <v>86</v>
      </c>
      <c r="C29" s="24">
        <v>4204685</v>
      </c>
      <c r="D29" s="24">
        <f t="shared" si="0"/>
        <v>4835387.75</v>
      </c>
      <c r="E29" s="24">
        <f t="shared" si="1"/>
        <v>1450616.3250000002</v>
      </c>
      <c r="F29" s="24">
        <f t="shared" si="2"/>
        <v>2901232.6500000004</v>
      </c>
      <c r="G29" s="24">
        <f t="shared" si="3"/>
        <v>3626540.8125000005</v>
      </c>
      <c r="H29" s="25">
        <f>G29/2800</f>
        <v>1295.1931473214288</v>
      </c>
      <c r="I29" s="25">
        <f>I13+I17+I22+I26</f>
        <v>1295.2969571428571</v>
      </c>
      <c r="J29" s="24">
        <f t="shared" si="5"/>
        <v>12088469.375000002</v>
      </c>
      <c r="K29" s="26">
        <f>J29/2800</f>
        <v>4317.3104910714292</v>
      </c>
      <c r="L29" s="26">
        <f>L18+L27</f>
        <v>4317.1651000000002</v>
      </c>
      <c r="M29" s="27">
        <f>I29/L29</f>
        <v>0.30003414906297121</v>
      </c>
      <c r="N29" s="24">
        <v>2800</v>
      </c>
      <c r="P29" s="26">
        <f>SUM(P27+P18)</f>
        <v>3365</v>
      </c>
      <c r="Q29" s="27">
        <f t="shared" si="8"/>
        <v>0.28296139673105503</v>
      </c>
      <c r="R29" s="26">
        <f>R27+R18</f>
        <v>944</v>
      </c>
      <c r="S29" s="27">
        <f>(I29-R29)/R29</f>
        <v>0.37213660714285707</v>
      </c>
    </row>
    <row r="32" spans="1:19">
      <c r="B32" s="14"/>
      <c r="C32" s="15"/>
      <c r="D32" s="15"/>
      <c r="E32" s="15"/>
      <c r="F32" s="15"/>
      <c r="G32" s="15"/>
      <c r="H32" s="16"/>
      <c r="I32" s="16"/>
      <c r="J32" s="15"/>
      <c r="K32" s="16"/>
      <c r="L32" s="16"/>
      <c r="M32" s="17"/>
      <c r="N32" s="47"/>
      <c r="P32" s="16"/>
      <c r="Q32" s="17"/>
      <c r="R32" s="16"/>
      <c r="S32" s="17"/>
    </row>
    <row r="33" spans="2:19">
      <c r="B33" s="8"/>
      <c r="C33" s="9"/>
      <c r="D33" s="9"/>
      <c r="E33" s="9"/>
      <c r="F33" s="9"/>
      <c r="G33" s="9"/>
      <c r="H33" s="10"/>
      <c r="I33" s="10"/>
      <c r="J33" s="9"/>
      <c r="K33" s="10"/>
      <c r="L33" s="10"/>
      <c r="M33" s="11"/>
      <c r="N33" s="46"/>
      <c r="P33" s="10"/>
      <c r="Q33" s="12"/>
      <c r="R33" s="10"/>
      <c r="S33" s="12"/>
    </row>
    <row r="34" spans="2:19">
      <c r="B34" s="8"/>
      <c r="C34" s="9"/>
      <c r="D34" s="9"/>
      <c r="E34" s="9"/>
      <c r="F34" s="9"/>
      <c r="G34" s="9"/>
      <c r="H34" s="10"/>
      <c r="I34" s="10"/>
      <c r="J34" s="9"/>
      <c r="K34" s="10"/>
      <c r="L34" s="10"/>
      <c r="M34" s="11"/>
      <c r="N34" s="46"/>
      <c r="P34" s="10"/>
      <c r="Q34" s="12"/>
      <c r="R34" s="10"/>
      <c r="S34" s="12"/>
    </row>
    <row r="35" spans="2:19">
      <c r="B35" s="8"/>
      <c r="C35" s="9"/>
      <c r="D35" s="9"/>
      <c r="E35" s="9"/>
      <c r="F35" s="9"/>
      <c r="G35" s="9"/>
      <c r="H35" s="10"/>
      <c r="I35" s="10"/>
      <c r="J35" s="9"/>
      <c r="K35" s="10"/>
      <c r="L35" s="10"/>
      <c r="M35" s="11"/>
      <c r="N35" s="46"/>
      <c r="P35" s="10"/>
      <c r="Q35" s="12"/>
      <c r="R35" s="10"/>
      <c r="S35" s="12"/>
    </row>
    <row r="36" spans="2:19">
      <c r="B36" s="14"/>
      <c r="C36" s="15"/>
      <c r="D36" s="15"/>
      <c r="E36" s="15"/>
      <c r="F36" s="15"/>
      <c r="G36" s="15"/>
      <c r="H36" s="16"/>
      <c r="I36" s="16"/>
      <c r="J36" s="15"/>
      <c r="K36" s="16"/>
      <c r="L36" s="16"/>
      <c r="M36" s="17"/>
      <c r="N36" s="47"/>
      <c r="P36" s="16"/>
      <c r="Q36" s="17"/>
      <c r="R36" s="16"/>
      <c r="S36" s="17"/>
    </row>
  </sheetData>
  <mergeCells count="7">
    <mergeCell ref="A28:B28"/>
    <mergeCell ref="B3:D3"/>
    <mergeCell ref="B4:D4"/>
    <mergeCell ref="B5:D5"/>
    <mergeCell ref="B6:D6"/>
    <mergeCell ref="A9:B9"/>
    <mergeCell ref="A10:A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3ADE-D0BC-4B92-ACA7-3F7188A55230}">
  <dimension ref="B2:D14"/>
  <sheetViews>
    <sheetView workbookViewId="0">
      <selection activeCell="R9" sqref="R9"/>
    </sheetView>
  </sheetViews>
  <sheetFormatPr defaultRowHeight="14.45"/>
  <cols>
    <col min="2" max="2" width="12.42578125" customWidth="1"/>
    <col min="3" max="3" width="13.42578125" bestFit="1" customWidth="1"/>
    <col min="4" max="4" width="11.140625" customWidth="1"/>
  </cols>
  <sheetData>
    <row r="2" spans="2:4" ht="15" thickBot="1">
      <c r="C2" t="s">
        <v>87</v>
      </c>
      <c r="D2" t="s">
        <v>88</v>
      </c>
    </row>
    <row r="3" spans="2:4" ht="15.6" thickTop="1" thickBot="1">
      <c r="B3" s="57" t="s">
        <v>13</v>
      </c>
      <c r="C3" s="147">
        <v>468800</v>
      </c>
      <c r="D3" s="58">
        <v>50000</v>
      </c>
    </row>
    <row r="4" spans="2:4" ht="15.6" thickTop="1" thickBot="1">
      <c r="B4" s="49" t="s">
        <v>14</v>
      </c>
      <c r="C4" s="147">
        <v>529600</v>
      </c>
      <c r="D4" s="56"/>
    </row>
    <row r="5" spans="2:4" ht="15.6" thickTop="1" thickBot="1">
      <c r="B5" s="59" t="s">
        <v>15</v>
      </c>
      <c r="C5" s="147">
        <v>618400</v>
      </c>
      <c r="D5" s="60"/>
    </row>
    <row r="6" spans="2:4" ht="15.6" thickTop="1" thickBot="1">
      <c r="B6" s="64" t="s">
        <v>17</v>
      </c>
      <c r="C6" s="147">
        <v>293600</v>
      </c>
      <c r="D6" s="56"/>
    </row>
    <row r="7" spans="2:4" ht="15.6" thickTop="1" thickBot="1">
      <c r="B7" s="49" t="s">
        <v>18</v>
      </c>
      <c r="C7" s="147">
        <v>389600</v>
      </c>
      <c r="D7" s="56"/>
    </row>
    <row r="8" spans="2:4" ht="15.6" thickTop="1" thickBot="1">
      <c r="B8" s="59" t="s">
        <v>19</v>
      </c>
      <c r="C8" s="147">
        <v>596000</v>
      </c>
      <c r="D8" s="60"/>
    </row>
    <row r="9" spans="2:4" ht="15.6" thickTop="1" thickBot="1">
      <c r="B9" s="57" t="s">
        <v>20</v>
      </c>
      <c r="C9" s="147">
        <v>372800</v>
      </c>
      <c r="D9" s="58"/>
    </row>
    <row r="10" spans="2:4" ht="15.6" thickTop="1" thickBot="1">
      <c r="B10" s="49" t="s">
        <v>21</v>
      </c>
      <c r="C10" s="147">
        <v>126400</v>
      </c>
      <c r="D10" s="56"/>
    </row>
    <row r="11" spans="2:4" ht="15.6" thickTop="1" thickBot="1">
      <c r="B11" s="59" t="s">
        <v>22</v>
      </c>
      <c r="C11" s="147">
        <v>688800</v>
      </c>
      <c r="D11" s="60"/>
    </row>
    <row r="12" spans="2:4" ht="15.6" thickTop="1" thickBot="1">
      <c r="B12" s="57" t="s">
        <v>23</v>
      </c>
      <c r="C12" s="147">
        <v>604000</v>
      </c>
      <c r="D12" s="58"/>
    </row>
    <row r="13" spans="2:4" ht="15.6" thickTop="1" thickBot="1">
      <c r="B13" s="49" t="s">
        <v>24</v>
      </c>
      <c r="C13" s="147">
        <v>731200</v>
      </c>
      <c r="D13" s="56"/>
    </row>
    <row r="14" spans="2:4" ht="15.6" thickTop="1" thickBot="1">
      <c r="B14" s="59" t="s">
        <v>25</v>
      </c>
      <c r="C14" s="147">
        <v>621600</v>
      </c>
      <c r="D14" s="6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894C-4DD6-4209-B29A-C1774D0EC4F2}">
  <dimension ref="A1:H22"/>
  <sheetViews>
    <sheetView workbookViewId="0">
      <selection activeCell="K25" sqref="K25"/>
    </sheetView>
  </sheetViews>
  <sheetFormatPr defaultRowHeight="14.45"/>
  <cols>
    <col min="1" max="1" width="13.5703125" customWidth="1"/>
    <col min="6" max="7" width="13.7109375" bestFit="1" customWidth="1"/>
  </cols>
  <sheetData>
    <row r="1" spans="1:8" ht="33" thickTop="1" thickBot="1">
      <c r="A1" s="28"/>
      <c r="B1" s="48" t="s">
        <v>48</v>
      </c>
      <c r="C1" s="48" t="s">
        <v>49</v>
      </c>
      <c r="D1" s="48" t="s">
        <v>89</v>
      </c>
      <c r="F1" s="96" t="s">
        <v>90</v>
      </c>
      <c r="G1" s="96" t="s">
        <v>91</v>
      </c>
      <c r="H1" s="48" t="s">
        <v>89</v>
      </c>
    </row>
    <row r="2" spans="1:8" ht="15.6" thickTop="1" thickBot="1">
      <c r="A2" s="30" t="s">
        <v>13</v>
      </c>
      <c r="B2" s="149">
        <v>808</v>
      </c>
      <c r="C2" s="148">
        <v>880</v>
      </c>
      <c r="D2" s="158">
        <f>(C2/B2)-1</f>
        <v>8.9108910891089188E-2</v>
      </c>
      <c r="F2" s="58">
        <v>651000</v>
      </c>
      <c r="G2" s="147">
        <v>468800</v>
      </c>
      <c r="H2" s="158">
        <f>(G2/F2)-1</f>
        <v>-0.27987711213517663</v>
      </c>
    </row>
    <row r="3" spans="1:8" ht="15.6" thickTop="1" thickBot="1">
      <c r="A3" s="30" t="s">
        <v>14</v>
      </c>
      <c r="B3" s="31">
        <v>374</v>
      </c>
      <c r="C3" s="148">
        <v>528</v>
      </c>
      <c r="D3" s="160">
        <f t="shared" ref="D3:D14" si="0">(C3/B3)-1</f>
        <v>0.41176470588235303</v>
      </c>
      <c r="F3" s="56">
        <v>338348</v>
      </c>
      <c r="G3" s="147">
        <v>529600</v>
      </c>
      <c r="H3" s="160">
        <f t="shared" ref="H3:H14" si="1">(G3/F3)-1</f>
        <v>0.56525234374076394</v>
      </c>
    </row>
    <row r="4" spans="1:8" ht="15.6" thickTop="1" thickBot="1">
      <c r="A4" s="30" t="s">
        <v>15</v>
      </c>
      <c r="B4" s="151">
        <v>253</v>
      </c>
      <c r="C4" s="148">
        <v>469.33333333333337</v>
      </c>
      <c r="D4" s="158">
        <f t="shared" si="0"/>
        <v>0.85507246376811619</v>
      </c>
      <c r="F4" s="60">
        <v>315557</v>
      </c>
      <c r="G4" s="147">
        <v>618400</v>
      </c>
      <c r="H4" s="158">
        <f t="shared" si="1"/>
        <v>0.95970933935865776</v>
      </c>
    </row>
    <row r="5" spans="1:8" ht="15.6" thickTop="1" thickBot="1">
      <c r="A5" s="30" t="s">
        <v>17</v>
      </c>
      <c r="B5" s="152">
        <v>289</v>
      </c>
      <c r="C5" s="148">
        <v>117.33333333333334</v>
      </c>
      <c r="D5" s="158">
        <f t="shared" si="0"/>
        <v>-0.59400230680507493</v>
      </c>
      <c r="F5" s="56">
        <v>216374</v>
      </c>
      <c r="G5" s="147">
        <v>293600</v>
      </c>
      <c r="H5" s="158">
        <f t="shared" si="1"/>
        <v>0.35690979507704257</v>
      </c>
    </row>
    <row r="6" spans="1:8" ht="15.6" thickTop="1" thickBot="1">
      <c r="A6" s="30" t="s">
        <v>18</v>
      </c>
      <c r="B6" s="33">
        <v>446</v>
      </c>
      <c r="C6" s="148">
        <v>586.66666666666674</v>
      </c>
      <c r="D6" s="158">
        <f t="shared" si="0"/>
        <v>0.31539611360239173</v>
      </c>
      <c r="F6" s="56">
        <v>402807</v>
      </c>
      <c r="G6" s="147">
        <v>389600</v>
      </c>
      <c r="H6" s="158">
        <f t="shared" si="1"/>
        <v>-3.2787414320009312E-2</v>
      </c>
    </row>
    <row r="7" spans="1:8" ht="15.6" thickTop="1" thickBot="1">
      <c r="A7" s="30" t="s">
        <v>19</v>
      </c>
      <c r="B7" s="154">
        <v>304</v>
      </c>
      <c r="C7" s="148">
        <v>704</v>
      </c>
      <c r="D7" s="158">
        <f t="shared" si="0"/>
        <v>1.3157894736842106</v>
      </c>
      <c r="F7" s="56">
        <v>577949</v>
      </c>
      <c r="G7" s="147">
        <v>596000</v>
      </c>
      <c r="H7" s="158">
        <f t="shared" si="1"/>
        <v>3.123285964678546E-2</v>
      </c>
    </row>
    <row r="8" spans="1:8" ht="15.6" thickTop="1" thickBot="1">
      <c r="A8" s="30" t="s">
        <v>20</v>
      </c>
      <c r="B8" s="155">
        <v>310</v>
      </c>
      <c r="C8" s="148">
        <v>469.33333333333337</v>
      </c>
      <c r="D8" s="158">
        <f t="shared" si="0"/>
        <v>0.51397849462365608</v>
      </c>
      <c r="F8" s="58">
        <v>143482</v>
      </c>
      <c r="G8" s="147">
        <v>372800</v>
      </c>
      <c r="H8" s="158">
        <f t="shared" si="1"/>
        <v>1.5982353187159366</v>
      </c>
    </row>
    <row r="9" spans="1:8" ht="15.6" thickTop="1" thickBot="1">
      <c r="A9" s="30" t="s">
        <v>21</v>
      </c>
      <c r="B9" s="156">
        <v>118</v>
      </c>
      <c r="C9" s="148">
        <v>117.33333333333334</v>
      </c>
      <c r="D9" s="158">
        <f t="shared" si="0"/>
        <v>-5.6497175141242417E-3</v>
      </c>
      <c r="F9" s="56">
        <v>44000</v>
      </c>
      <c r="G9" s="147">
        <v>126400</v>
      </c>
      <c r="H9" s="158">
        <f t="shared" si="1"/>
        <v>1.8727272727272726</v>
      </c>
    </row>
    <row r="10" spans="1:8" ht="15.6" thickTop="1" thickBot="1">
      <c r="A10" s="30" t="s">
        <v>22</v>
      </c>
      <c r="B10" s="157">
        <v>294</v>
      </c>
      <c r="C10" s="148">
        <v>645.33333333333337</v>
      </c>
      <c r="D10" s="158">
        <f t="shared" si="0"/>
        <v>1.1950113378684808</v>
      </c>
      <c r="F10" s="60">
        <v>310000</v>
      </c>
      <c r="G10" s="147">
        <v>688800</v>
      </c>
      <c r="H10" s="158">
        <f t="shared" si="1"/>
        <v>1.221935483870968</v>
      </c>
    </row>
    <row r="11" spans="1:8" ht="15.6" thickTop="1" thickBot="1">
      <c r="A11" s="30" t="s">
        <v>23</v>
      </c>
      <c r="B11" s="153">
        <v>359</v>
      </c>
      <c r="C11" s="148">
        <v>586.66666666666674</v>
      </c>
      <c r="D11" s="158">
        <f t="shared" si="0"/>
        <v>0.63416898792943388</v>
      </c>
      <c r="F11" s="56">
        <v>236000</v>
      </c>
      <c r="G11" s="147">
        <v>604000</v>
      </c>
      <c r="H11" s="158">
        <f t="shared" si="1"/>
        <v>1.5593220338983049</v>
      </c>
    </row>
    <row r="12" spans="1:8" ht="15.6" thickTop="1" thickBot="1">
      <c r="A12" s="30" t="s">
        <v>24</v>
      </c>
      <c r="B12" s="31">
        <v>631</v>
      </c>
      <c r="C12" s="148">
        <v>645.33333333333337</v>
      </c>
      <c r="D12" s="158">
        <f t="shared" si="0"/>
        <v>2.2715266772319165E-2</v>
      </c>
      <c r="F12" s="56">
        <v>419000</v>
      </c>
      <c r="G12" s="147">
        <v>731200</v>
      </c>
      <c r="H12" s="158">
        <f t="shared" si="1"/>
        <v>0.745107398568019</v>
      </c>
    </row>
    <row r="13" spans="1:8" ht="15.6" thickTop="1" thickBot="1">
      <c r="A13" s="30" t="s">
        <v>25</v>
      </c>
      <c r="B13" s="151">
        <v>270</v>
      </c>
      <c r="C13" s="148">
        <v>117.33333333333334</v>
      </c>
      <c r="D13" s="158">
        <f t="shared" si="0"/>
        <v>-0.56543209876543199</v>
      </c>
      <c r="F13" s="60">
        <v>100000</v>
      </c>
      <c r="G13" s="147">
        <v>621600</v>
      </c>
      <c r="H13" s="158">
        <f t="shared" si="1"/>
        <v>5.2160000000000002</v>
      </c>
    </row>
    <row r="14" spans="1:8" ht="15.6" thickTop="1" thickBot="1">
      <c r="A14" s="35" t="s">
        <v>26</v>
      </c>
      <c r="B14" s="52">
        <f>SUM(B2:B13)</f>
        <v>4456</v>
      </c>
      <c r="C14" s="36">
        <f>SUM(C2:C13)</f>
        <v>5866.666666666667</v>
      </c>
      <c r="D14" s="158">
        <f t="shared" si="0"/>
        <v>0.3165769000598444</v>
      </c>
      <c r="F14" s="2">
        <f>SUM(F2:F13)</f>
        <v>3754517</v>
      </c>
      <c r="G14" s="2">
        <f>SUM(G2:G13)</f>
        <v>6040800</v>
      </c>
      <c r="H14" s="158">
        <f t="shared" si="1"/>
        <v>0.60894197575879927</v>
      </c>
    </row>
    <row r="15" spans="1:8" ht="15" thickBot="1"/>
    <row r="16" spans="1:8" ht="33" thickTop="1" thickBot="1">
      <c r="A16" s="28"/>
      <c r="B16" s="48" t="s">
        <v>47</v>
      </c>
      <c r="C16" s="48" t="s">
        <v>48</v>
      </c>
      <c r="D16" s="48" t="s">
        <v>89</v>
      </c>
    </row>
    <row r="17" spans="1:8" ht="15.6" thickTop="1" thickBot="1">
      <c r="A17" s="159" t="s">
        <v>28</v>
      </c>
      <c r="B17">
        <f>SUM(B2:B4)</f>
        <v>1435</v>
      </c>
      <c r="C17" s="164">
        <f>SUM(C2:C4)</f>
        <v>1877.3333333333335</v>
      </c>
      <c r="D17" s="158">
        <f>C17/B17-1</f>
        <v>0.30824622531939605</v>
      </c>
      <c r="F17" s="150">
        <f>SUM(F2:F4)</f>
        <v>1304905</v>
      </c>
      <c r="G17" s="161">
        <f>SUM(G2:G4)</f>
        <v>1616800</v>
      </c>
      <c r="H17" s="158">
        <f>G17/F17-1</f>
        <v>0.23901739973408032</v>
      </c>
    </row>
    <row r="18" spans="1:8" ht="15.6" thickTop="1" thickBot="1">
      <c r="A18" s="159" t="s">
        <v>29</v>
      </c>
      <c r="B18">
        <f>SUM(B5:B7)</f>
        <v>1039</v>
      </c>
      <c r="C18" s="164">
        <f>SUM(C5:C7)</f>
        <v>1408</v>
      </c>
      <c r="D18" s="158">
        <f>C18/B18-1</f>
        <v>0.35514918190567846</v>
      </c>
      <c r="F18" s="150">
        <f>SUM(F5:F7)</f>
        <v>1197130</v>
      </c>
      <c r="G18" s="161">
        <f>SUM(G5:G7)</f>
        <v>1279200</v>
      </c>
      <c r="H18" s="158">
        <f>G18/F18-1</f>
        <v>6.8555628879069186E-2</v>
      </c>
    </row>
    <row r="19" spans="1:8" ht="15.6" thickTop="1" thickBot="1">
      <c r="A19" s="159" t="s">
        <v>30</v>
      </c>
      <c r="B19" s="53">
        <f>SUM(B8:B10)</f>
        <v>722</v>
      </c>
      <c r="C19" s="164">
        <f>SUM(C8:C10)</f>
        <v>1232</v>
      </c>
      <c r="D19" s="158">
        <f t="shared" ref="D19:D21" si="2">C19/B19-1</f>
        <v>0.70637119113573399</v>
      </c>
      <c r="F19" s="150">
        <f>SUM(F8:F10)</f>
        <v>497482</v>
      </c>
      <c r="G19" s="161">
        <f>SUM(G8:G10)</f>
        <v>1188000</v>
      </c>
      <c r="H19" s="158">
        <f t="shared" ref="H19:H21" si="3">G19/F19-1</f>
        <v>1.3880260994367637</v>
      </c>
    </row>
    <row r="20" spans="1:8" ht="15.6" thickTop="1" thickBot="1">
      <c r="A20" s="159" t="s">
        <v>31</v>
      </c>
      <c r="B20">
        <f>SUM(B11:B13)</f>
        <v>1260</v>
      </c>
      <c r="C20" s="164">
        <f>SUM(C11:C13)</f>
        <v>1349.3333333333333</v>
      </c>
      <c r="D20" s="158">
        <f t="shared" si="2"/>
        <v>7.0899470899470796E-2</v>
      </c>
      <c r="F20" s="150">
        <f>SUM(F11:F13)</f>
        <v>755000</v>
      </c>
      <c r="G20" s="161">
        <f>SUM(G11:G13)</f>
        <v>1956800</v>
      </c>
      <c r="H20" s="158">
        <f t="shared" si="3"/>
        <v>1.5917880794701986</v>
      </c>
    </row>
    <row r="21" spans="1:8" ht="15.6" thickTop="1" thickBot="1">
      <c r="A21" s="35" t="s">
        <v>26</v>
      </c>
      <c r="B21" s="35">
        <f>SUM(B17:B20)</f>
        <v>4456</v>
      </c>
      <c r="C21" s="36">
        <f>SUM(C17:C20)</f>
        <v>5866.666666666667</v>
      </c>
      <c r="D21" s="158">
        <f t="shared" si="2"/>
        <v>0.3165769000598444</v>
      </c>
      <c r="F21" s="162">
        <f>SUM(F17:F20)</f>
        <v>3754517</v>
      </c>
      <c r="G21" s="162">
        <f>SUM(G17:G20)</f>
        <v>6040800</v>
      </c>
      <c r="H21" s="158">
        <f t="shared" si="3"/>
        <v>0.60894197575879927</v>
      </c>
    </row>
    <row r="22" spans="1:8" ht="15" thickTop="1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11b167-0df5-4978-aa5d-fad552083dc3}" enabled="0" method="" siteId="{2d11b167-0df5-4978-aa5d-fad552083d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Fowkes</dc:creator>
  <cp:keywords/>
  <dc:description/>
  <cp:lastModifiedBy/>
  <cp:revision/>
  <dcterms:created xsi:type="dcterms:W3CDTF">2025-01-06T16:32:43Z</dcterms:created>
  <dcterms:modified xsi:type="dcterms:W3CDTF">2026-02-17T14:24:49Z</dcterms:modified>
  <cp:category/>
  <cp:contentStatus/>
</cp:coreProperties>
</file>