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updateLinks="always"/>
  <mc:AlternateContent xmlns:mc="http://schemas.openxmlformats.org/markup-compatibility/2006">
    <mc:Choice Requires="x15">
      <x15ac:absPath xmlns:x15ac="http://schemas.microsoft.com/office/spreadsheetml/2010/11/ac" url="https://venturedsolutions-my.sharepoint.com/personal/shishir_sharma_venturedsolutions_co_uk/Documents/Documents/Business Analysis/"/>
    </mc:Choice>
  </mc:AlternateContent>
  <xr:revisionPtr revIDLastSave="0" documentId="8_{CAC284BD-650D-4989-B4BC-CBFD7A15516F}" xr6:coauthVersionLast="47" xr6:coauthVersionMax="47" xr10:uidLastSave="{00000000-0000-0000-0000-000000000000}"/>
  <bookViews>
    <workbookView xWindow="0" yWindow="600" windowWidth="23260" windowHeight="13900" firstSheet="1" xr2:uid="{B094C617-D106-47DF-8F1E-5E6631BD0183}"/>
  </bookViews>
  <sheets>
    <sheet name="UK-KPI" sheetId="1" r:id="rId1"/>
    <sheet name="US-KPI (Dec25)" sheetId="4" r:id="rId2"/>
    <sheet name="US-KPI" sheetId="2" r:id="rId3"/>
    <sheet name="Sheet1" sheetId="3" r:id="rId4"/>
  </sheets>
  <externalReferences>
    <externalReference r:id="rId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8" i="4" l="1"/>
  <c r="Q23" i="1"/>
  <c r="P23" i="1"/>
  <c r="P36" i="1" l="1"/>
  <c r="AP27" i="4" l="1"/>
  <c r="AP24" i="4"/>
  <c r="AP22" i="4"/>
  <c r="AP26" i="4" s="1"/>
  <c r="AL26" i="4"/>
  <c r="AL8" i="4"/>
  <c r="U74" i="1"/>
  <c r="U75" i="1"/>
  <c r="U76" i="1"/>
  <c r="U73" i="1"/>
  <c r="O8" i="4" l="1"/>
  <c r="AK17" i="4"/>
  <c r="AK11" i="4"/>
  <c r="AK10" i="4"/>
  <c r="AK9" i="4"/>
  <c r="AK13" i="4"/>
  <c r="AK7" i="4"/>
  <c r="AK6" i="4"/>
  <c r="AJ8" i="4"/>
  <c r="AI8" i="4"/>
  <c r="AJ25" i="4"/>
  <c r="AH8" i="4"/>
  <c r="AK8" i="4" s="1"/>
  <c r="U63" i="1"/>
  <c r="U61" i="1"/>
  <c r="U60" i="1"/>
  <c r="AE14" i="1"/>
  <c r="AK27" i="4" l="1"/>
  <c r="AK24" i="4"/>
  <c r="AK22" i="4"/>
  <c r="AH26" i="4"/>
  <c r="AI26" i="4"/>
  <c r="AJ26" i="4"/>
  <c r="AG26" i="4"/>
  <c r="AH28" i="4"/>
  <c r="AI28" i="4"/>
  <c r="AJ28" i="4"/>
  <c r="AG28" i="4"/>
  <c r="AH25" i="4"/>
  <c r="AI25" i="4"/>
  <c r="AG25" i="4"/>
  <c r="AH23" i="4"/>
  <c r="AI23" i="4"/>
  <c r="AJ23" i="4"/>
  <c r="AG23" i="4"/>
  <c r="AA28" i="4"/>
  <c r="AA27" i="4"/>
  <c r="Y26" i="4"/>
  <c r="X26" i="4"/>
  <c r="W26" i="4"/>
  <c r="AA25" i="4"/>
  <c r="AA24" i="4"/>
  <c r="AA23" i="4"/>
  <c r="AA22" i="4"/>
  <c r="AA18" i="4"/>
  <c r="AA13" i="4"/>
  <c r="AA12" i="4"/>
  <c r="AA11" i="4"/>
  <c r="AA10" i="4"/>
  <c r="AA9" i="4"/>
  <c r="Z8" i="4"/>
  <c r="Y8" i="4"/>
  <c r="X8" i="4"/>
  <c r="W8" i="4"/>
  <c r="AA7" i="4"/>
  <c r="AA6" i="4"/>
  <c r="U72" i="1"/>
  <c r="P64" i="1"/>
  <c r="Q64" i="1"/>
  <c r="R64" i="1"/>
  <c r="S64" i="1"/>
  <c r="T64" i="1"/>
  <c r="T62" i="1"/>
  <c r="P62" i="1"/>
  <c r="Q62" i="1"/>
  <c r="R62" i="1"/>
  <c r="S62" i="1"/>
  <c r="U66" i="1"/>
  <c r="U65" i="1"/>
  <c r="U22" i="1"/>
  <c r="R36" i="1"/>
  <c r="S36" i="1"/>
  <c r="R34" i="1"/>
  <c r="S34" i="1"/>
  <c r="P18" i="1"/>
  <c r="Q18" i="1"/>
  <c r="R18" i="1"/>
  <c r="N62" i="1"/>
  <c r="N64" i="1"/>
  <c r="R31" i="1"/>
  <c r="S31" i="1"/>
  <c r="Q10" i="1"/>
  <c r="R10" i="1"/>
  <c r="S10" i="1"/>
  <c r="Q9" i="1"/>
  <c r="R9" i="1"/>
  <c r="S9" i="1"/>
  <c r="T9" i="1"/>
  <c r="AE26" i="4"/>
  <c r="AE8" i="4"/>
  <c r="AD8" i="4"/>
  <c r="AD26" i="4"/>
  <c r="O18" i="4"/>
  <c r="AB26" i="4"/>
  <c r="AC26" i="4"/>
  <c r="AC8" i="4"/>
  <c r="AB8" i="4"/>
  <c r="AF8" i="4" s="1"/>
  <c r="Q36" i="1"/>
  <c r="V29" i="4"/>
  <c r="AF28" i="4"/>
  <c r="V28" i="4"/>
  <c r="AF27" i="4"/>
  <c r="Q27" i="4"/>
  <c r="V27" i="4" s="1"/>
  <c r="T26" i="4"/>
  <c r="S26" i="4"/>
  <c r="R26" i="4"/>
  <c r="K26" i="4"/>
  <c r="J26" i="4"/>
  <c r="I26" i="4"/>
  <c r="H26" i="4"/>
  <c r="G26" i="4"/>
  <c r="F26" i="4"/>
  <c r="E26" i="4"/>
  <c r="D26" i="4"/>
  <c r="AF25" i="4"/>
  <c r="V25" i="4"/>
  <c r="AF24" i="4"/>
  <c r="V24" i="4"/>
  <c r="AF23" i="4"/>
  <c r="V23" i="4"/>
  <c r="AF22" i="4"/>
  <c r="Q22" i="4"/>
  <c r="V13" i="4"/>
  <c r="AX13" i="4" s="1"/>
  <c r="AF12" i="4"/>
  <c r="V12" i="4"/>
  <c r="AF11" i="4"/>
  <c r="V11" i="4"/>
  <c r="AF10" i="4"/>
  <c r="V10" i="4"/>
  <c r="AF9" i="4"/>
  <c r="V9" i="4"/>
  <c r="U8" i="4"/>
  <c r="T8" i="4"/>
  <c r="Q8" i="4"/>
  <c r="L8" i="4"/>
  <c r="K8" i="4"/>
  <c r="J8" i="4"/>
  <c r="AF7" i="4"/>
  <c r="V7" i="4"/>
  <c r="AF6" i="4"/>
  <c r="V6" i="4"/>
  <c r="U45" i="1"/>
  <c r="P10" i="1"/>
  <c r="P9" i="1"/>
  <c r="M64" i="1"/>
  <c r="M62" i="1"/>
  <c r="Z18" i="2"/>
  <c r="Z7" i="2"/>
  <c r="Z9" i="2"/>
  <c r="Z10" i="2"/>
  <c r="Z11" i="2"/>
  <c r="Z12" i="2"/>
  <c r="Z13" i="2"/>
  <c r="Z6" i="2"/>
  <c r="Y8" i="2"/>
  <c r="U47" i="1"/>
  <c r="U33" i="1"/>
  <c r="Z27" i="2"/>
  <c r="Z24" i="2"/>
  <c r="Z22" i="2"/>
  <c r="Z26" i="2" s="1"/>
  <c r="U62" i="1" l="1"/>
  <c r="AF26" i="4"/>
  <c r="AA8" i="4"/>
  <c r="AK26" i="4"/>
  <c r="U64" i="1"/>
  <c r="AA26" i="4"/>
  <c r="V8" i="4"/>
  <c r="Q26" i="4"/>
  <c r="V22" i="4"/>
  <c r="V26" i="4" s="1"/>
  <c r="X26" i="2"/>
  <c r="X8" i="2"/>
  <c r="W26" i="2"/>
  <c r="Z28" i="2"/>
  <c r="V26" i="2"/>
  <c r="Z25" i="2"/>
  <c r="Z23" i="2"/>
  <c r="W8" i="2"/>
  <c r="V8" i="2"/>
  <c r="U28" i="2"/>
  <c r="U25" i="2"/>
  <c r="U24" i="2"/>
  <c r="U23" i="2"/>
  <c r="T8" i="2"/>
  <c r="S26" i="2"/>
  <c r="R26" i="2"/>
  <c r="S8" i="2"/>
  <c r="P27" i="2"/>
  <c r="U27" i="2" s="1"/>
  <c r="P22" i="2"/>
  <c r="U22" i="2" s="1"/>
  <c r="Q26" i="2"/>
  <c r="K26" i="2"/>
  <c r="D26" i="2"/>
  <c r="E26" i="2"/>
  <c r="F26" i="2"/>
  <c r="G26" i="2"/>
  <c r="H26" i="2"/>
  <c r="I26" i="2"/>
  <c r="J26" i="2"/>
  <c r="P8" i="2"/>
  <c r="L8" i="2"/>
  <c r="U56" i="1"/>
  <c r="S18" i="1"/>
  <c r="Z8" i="2" l="1"/>
  <c r="P26" i="2"/>
  <c r="U55" i="1"/>
  <c r="K8" i="2"/>
  <c r="J8" i="2"/>
  <c r="AD55" i="1"/>
  <c r="J64" i="1" l="1"/>
  <c r="J62" i="1"/>
  <c r="E62" i="1" l="1"/>
  <c r="F62" i="1"/>
  <c r="G62" i="1"/>
  <c r="H62" i="1"/>
  <c r="I62" i="1"/>
  <c r="E64" i="1"/>
  <c r="F64" i="1"/>
  <c r="G64" i="1"/>
  <c r="H64" i="1"/>
  <c r="I64" i="1"/>
  <c r="T42" i="1"/>
  <c r="I29" i="1"/>
  <c r="I30" i="1"/>
  <c r="D64" i="1" l="1"/>
  <c r="D62" i="1"/>
  <c r="U17" i="1"/>
  <c r="T18" i="1"/>
  <c r="G72" i="1"/>
  <c r="U6" i="2" l="1"/>
  <c r="U7" i="2"/>
  <c r="U8" i="2"/>
  <c r="U9" i="2"/>
  <c r="U10" i="2"/>
  <c r="U11" i="2"/>
  <c r="U12" i="2"/>
  <c r="U13" i="2"/>
  <c r="AH13" i="2" s="1"/>
  <c r="S42" i="1"/>
  <c r="R42" i="1"/>
  <c r="Q42" i="1"/>
  <c r="P42" i="1"/>
  <c r="G36" i="1"/>
  <c r="G35" i="1"/>
  <c r="G34" i="1"/>
  <c r="G33" i="1"/>
  <c r="U29" i="2"/>
  <c r="P34" i="1"/>
  <c r="Q34" i="1"/>
  <c r="P31" i="1"/>
  <c r="Q31" i="1"/>
  <c r="Z20" i="1" l="1"/>
  <c r="Z19" i="1"/>
  <c r="Z18" i="1"/>
  <c r="U26" i="2"/>
  <c r="U50" i="1"/>
  <c r="U51" i="1"/>
  <c r="U44" i="1"/>
  <c r="U46" i="1"/>
  <c r="U8" i="1"/>
  <c r="U7" i="1"/>
  <c r="U6" i="1"/>
  <c r="U9" i="1" s="1"/>
  <c r="U49" i="1"/>
  <c r="U48" i="1"/>
  <c r="U42" i="1"/>
  <c r="U41" i="1"/>
  <c r="U40" i="1"/>
  <c r="U39" i="1"/>
  <c r="U35" i="1"/>
  <c r="U31" i="1"/>
  <c r="U30" i="1"/>
  <c r="U29" i="1"/>
  <c r="U27" i="1"/>
  <c r="U25" i="1"/>
  <c r="U24" i="1"/>
  <c r="U19" i="1"/>
  <c r="U20" i="1"/>
  <c r="U16" i="1"/>
  <c r="U15" i="1"/>
  <c r="U12" i="1"/>
  <c r="U11" i="1"/>
  <c r="U10" i="1"/>
  <c r="U58" i="1"/>
  <c r="U57" i="1"/>
  <c r="U54" i="1"/>
  <c r="U53" i="1"/>
  <c r="U38" i="1"/>
  <c r="U34" i="1"/>
  <c r="U18" i="1" l="1"/>
  <c r="U36" i="1"/>
  <c r="D31" i="1"/>
  <c r="E31" i="1"/>
  <c r="I3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Cassie Higgleton</author>
    <author>tc={02F0AE40-4D38-492A-87BD-C604024AE15F}</author>
    <author>tc={B0606D77-AB56-48AD-8D0B-3F7FEB69B637}</author>
    <author>tc={B6B57423-B0C9-4384-84A7-0B41FF1F8A6B}</author>
    <author>tc={9495D086-F083-440D-88F3-3756E6E802E2}</author>
    <author>tc={C222118A-D02E-4F19-8F4A-2A2D3EE8A382}</author>
    <author>tc={F1D4E1CF-6358-45EB-A85B-CD0B640A39C4}</author>
    <author>tc={E6CC31C0-9198-46F3-8FF8-BFFB2826314F}</author>
    <author>tc={0BA8EEFE-6668-441C-867C-63B9FF2F0876}</author>
    <author>tc={AC5696C5-3D2B-4DA6-8E72-CB179A6528FE}</author>
    <author>tc={B35085C0-A1BD-43A0-9AAD-F5E4FB1D20D7}</author>
    <author>tc={ADB8465B-B603-46A5-BEBB-9396297A102D}</author>
  </authors>
  <commentList>
    <comment ref="B15" authorId="0" shapeId="0" xr:uid="{1A7496B4-C3B9-44AD-9335-BD901D9B7FAE}">
      <text>
        <r>
          <rPr>
            <sz val="11"/>
            <color theme="1"/>
            <rFont val="Aptos Narrow"/>
            <family val="2"/>
            <scheme val="minor"/>
          </rPr>
          <t xml:space="preserve">Cassie Higgleton:
https://eduspot.lightning.force.com/lightning/r/Report/00OPy000000gginMAA/view
</t>
        </r>
      </text>
    </comment>
    <comment ref="T15" authorId="1" shapeId="0" xr:uid="{02F0AE40-4D38-492A-87BD-C604024AE15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sales team meeting and half term </t>
      </text>
    </comment>
    <comment ref="B16" authorId="2" shapeId="0" xr:uid="{B0606D77-AB56-48AD-8D0B-3F7FEB69B637}">
      <text>
        <t>[Threaded comment]
Your version of Excel allows you to read this threaded comment; however, any edits to it will get removed if the file is opened in a newer version of Excel. Learn more: https://go.microsoft.com/fwlink/?linkid=870924
Comment:
    Emails Today | Salesforce</t>
      </text>
    </comment>
    <comment ref="B17" authorId="3" shapeId="0" xr:uid="{B6B57423-B0C9-4384-84A7-0B41FF1F8A6B}">
      <text>
        <t>[Threaded comment]
Your version of Excel allows you to read this threaded comment; however, any edits to it will get removed if the file is opened in a newer version of Excel. Learn more: https://go.microsoft.com/fwlink/?linkid=870924
Comment:
    Weekly Opportunity Created - New | Salesforce</t>
      </text>
    </comment>
    <comment ref="B19" authorId="4" shapeId="0" xr:uid="{9495D086-F083-440D-88F3-3756E6E802E2}">
      <text>
        <t>[Threaded comment]
Your version of Excel allows you to read this threaded comment; however, any edits to it will get removed if the file is opened in a newer version of Excel. Learn more: https://go.microsoft.com/fwlink/?linkid=870924
Comment:
    Opp Created | Salesforce</t>
      </text>
    </comment>
    <comment ref="B20" authorId="5" shapeId="0" xr:uid="{C222118A-D02E-4F19-8F4A-2A2D3EE8A382}">
      <text>
        <t>[Threaded comment]
Your version of Excel allows you to read this threaded comment; however, any edits to it will get removed if the file is opened in a newer version of Excel. Learn more: https://go.microsoft.com/fwlink/?linkid=870924
Comment:
    Power Up Pipeline Generated | Salesforce</t>
      </text>
    </comment>
    <comment ref="B22" authorId="6" shapeId="0" xr:uid="{F1D4E1CF-6358-45EB-A85B-CD0B640A39C4}">
      <text>
        <t>[Threaded comment]
Your version of Excel allows you to read this threaded comment; however, any edits to it will get removed if the file is opened in a newer version of Excel. Learn more: https://go.microsoft.com/fwlink/?linkid=870924
Comment:
    PE Packages Report | Salesforce</t>
      </text>
    </comment>
    <comment ref="B24" authorId="0" shapeId="0" xr:uid="{00E5F07D-4A1C-4B4B-B3B1-1FCDF5605934}">
      <text>
        <r>
          <rPr>
            <sz val="11"/>
            <color theme="1"/>
            <rFont val="Aptos Narrow"/>
            <family val="2"/>
            <scheme val="minor"/>
          </rPr>
          <t xml:space="preserve">Cassie Higgleton:
https://eduspot.lightning.force.com/lightning/r/Report/00OPy0000046DOTMA2/view
</t>
        </r>
      </text>
    </comment>
    <comment ref="B25" authorId="7" shapeId="0" xr:uid="{E6CC31C0-9198-46F3-8FF8-BFFB2826314F}">
      <text>
        <t>[Threaded comment]
Your version of Excel allows you to read this threaded comment; however, any edits to it will get removed if the file is opened in a newer version of Excel. Learn more: https://go.microsoft.com/fwlink/?linkid=870924
Comment:
    Opportunity Pipeline Best Case | Salesforce</t>
      </text>
    </comment>
    <comment ref="B27" authorId="8" shapeId="0" xr:uid="{0BA8EEFE-6668-441C-867C-63B9FF2F0876}">
      <text>
        <t>[Threaded comment]
Your version of Excel allows you to read this threaded comment; however, any edits to it will get removed if the file is opened in a newer version of Excel. Learn more: https://go.microsoft.com/fwlink/?linkid=870924
Comment:
    UK Won Average% | Salesforce</t>
      </text>
    </comment>
    <comment ref="B29" authorId="9" shapeId="0" xr:uid="{AC5696C5-3D2B-4DA6-8E72-CB179A6528FE}">
      <text>
        <t>[Threaded comment]
Your version of Excel allows you to read this threaded comment; however, any edits to it will get removed if the file is opened in a newer version of Excel. Learn more: https://go.microsoft.com/fwlink/?linkid=870924
Comment:
    Ventured Solutions - New Bookings Forecast 2025 v2.xlsx</t>
      </text>
    </comment>
    <comment ref="P33" authorId="10" shapeId="0" xr:uid="{B35085C0-A1BD-43A0-9AAD-F5E4FB1D20D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An £8k opp from last month was credited back </t>
      </text>
    </comment>
    <comment ref="B35" authorId="11" shapeId="0" xr:uid="{ADB8465B-B603-46A5-BEBB-9396297A102D}">
      <text>
        <t>[Threaded comment]
Your version of Excel allows you to read this threaded comment; however, any edits to it will get removed if the file is opened in a newer version of Excel. Learn more: https://go.microsoft.com/fwlink/?linkid=870924
Comment:
    UK Bookings | Salesforce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tc={F5EC6C0A-D141-4F53-B245-094D246A663E}</author>
    <author>tc={89AD24AB-9875-4C9B-A746-908E30241007}</author>
  </authors>
  <commentList>
    <comment ref="AB37" authorId="0" shapeId="0" xr:uid="{F5EC6C0A-D141-4F53-B245-094D246A663E}">
      <text>
        <t>[Threaded comment]
Your version of Excel allows you to read this threaded comment; however, any edits to it will get removed if the file is opened in a newer version of Excel. Learn more: https://go.microsoft.com/fwlink/?linkid=870924
Comment:
    Year end message final cohort</t>
      </text>
    </comment>
    <comment ref="AB43" authorId="1" shapeId="0" xr:uid="{89AD24AB-9875-4C9B-A746-908E30241007}">
      <text>
        <t>[Threaded comment]
Your version of Excel allows you to read this threaded comment; however, any edits to it will get removed if the file is opened in a newer version of Excel. Learn more: https://go.microsoft.com/fwlink/?linkid=870924
Comment:
    Year end message final cohort</t>
      </text>
    </comment>
  </commentList>
</comments>
</file>

<file path=xl/sharedStrings.xml><?xml version="1.0" encoding="utf-8"?>
<sst xmlns="http://schemas.openxmlformats.org/spreadsheetml/2006/main" count="575" uniqueCount="271">
  <si>
    <t>VenturEd Solutions UK</t>
  </si>
  <si>
    <t>Weekly KPI measurement 2026</t>
  </si>
  <si>
    <t>Current Month - Feb '26</t>
  </si>
  <si>
    <t>Objective</t>
  </si>
  <si>
    <t>Stretch objective</t>
  </si>
  <si>
    <t>Comments</t>
  </si>
  <si>
    <t>Source data link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</si>
  <si>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</si>
  <si>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</si>
  <si>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</si>
  <si>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</si>
  <si>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</si>
  <si>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</si>
  <si>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</si>
  <si>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</si>
  <si>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</si>
  <si>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</si>
  <si>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</si>
  <si>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</si>
  <si>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Week 1</t>
  </si>
  <si>
    <t>Week2</t>
  </si>
  <si>
    <t>Week 3</t>
  </si>
  <si>
    <t>Week 4</t>
  </si>
  <si>
    <t>Week 5</t>
  </si>
  <si>
    <t>Total Avg</t>
  </si>
  <si>
    <t>Status</t>
  </si>
  <si>
    <t>Per Week</t>
  </si>
  <si>
    <t>Marketing</t>
  </si>
  <si>
    <t>MQL</t>
  </si>
  <si>
    <t>Very Good</t>
  </si>
  <si>
    <t>Marketing Dashboard - Leads | Salesforce</t>
  </si>
  <si>
    <t>SQL</t>
  </si>
  <si>
    <t>nearly there</t>
  </si>
  <si>
    <t>Pipeline Created</t>
  </si>
  <si>
    <t>£116386</t>
  </si>
  <si>
    <t>£45k</t>
  </si>
  <si>
    <t>£50k</t>
  </si>
  <si>
    <t>MQL: SQL ratio</t>
  </si>
  <si>
    <t>MQL ASP</t>
  </si>
  <si>
    <t>£8795</t>
  </si>
  <si>
    <t>Good</t>
  </si>
  <si>
    <t>Campaign status: on track?</t>
  </si>
  <si>
    <t>Number of events</t>
  </si>
  <si>
    <t>Sales</t>
  </si>
  <si>
    <t>Number calls / demos - week</t>
  </si>
  <si>
    <t>off pace vs obj</t>
  </si>
  <si>
    <t>Number emails - week</t>
  </si>
  <si>
    <t>TOTAL pipeline gen - week</t>
  </si>
  <si>
    <t>£122,559</t>
  </si>
  <si>
    <t>SALES pipeline gen - week</t>
  </si>
  <si>
    <t>£93345</t>
  </si>
  <si>
    <t>MARKETING pipeline gen - week</t>
  </si>
  <si>
    <t>£23271</t>
  </si>
  <si>
    <t>INTERNAL pipeline gen - week</t>
  </si>
  <si>
    <t>£5943</t>
  </si>
  <si>
    <t>PE Package pipeline gen - week</t>
  </si>
  <si>
    <t>Current month Pipeline 
(total excl closed won)</t>
  </si>
  <si>
    <t>£386108</t>
  </si>
  <si>
    <t>Current Quarter open pipeline</t>
  </si>
  <si>
    <t>£1636425</t>
  </si>
  <si>
    <t xml:space="preserve">£-   </t>
  </si>
  <si>
    <t xml:space="preserve"> £-   </t>
  </si>
  <si>
    <t>Sales win rate MTD</t>
  </si>
  <si>
    <t>Current month sales forecast</t>
  </si>
  <si>
    <t>£260982</t>
  </si>
  <si>
    <t>Current month objective</t>
  </si>
  <si>
    <t>£265436</t>
  </si>
  <si>
    <t>May '25</t>
  </si>
  <si>
    <t>Sales FC vs objective %</t>
  </si>
  <si>
    <t>Bookings closed won MTD (£)</t>
  </si>
  <si>
    <t>£106723</t>
  </si>
  <si>
    <t>Bookings vs objective MTD</t>
  </si>
  <si>
    <t>Opps closed won MTD (Number)</t>
  </si>
  <si>
    <t>Closed:won avg ASP MTD</t>
  </si>
  <si>
    <t>£3600</t>
  </si>
  <si>
    <t>Cross sell</t>
  </si>
  <si>
    <t>Daily sales activity per colleague</t>
  </si>
  <si>
    <t>Opportunities created MTD</t>
  </si>
  <si>
    <t>Current month pipeline value</t>
  </si>
  <si>
    <t>£74010</t>
  </si>
  <si>
    <t>Current month closed won</t>
  </si>
  <si>
    <t>£8967</t>
  </si>
  <si>
    <t>Current month closed:won forecast</t>
  </si>
  <si>
    <t>£68427</t>
  </si>
  <si>
    <t>Retention</t>
  </si>
  <si>
    <t>Pro active Cases Raised Weekly</t>
  </si>
  <si>
    <t>Off pace V's objective</t>
  </si>
  <si>
    <t>SLT KPI Sheet Data | Salesforce</t>
  </si>
  <si>
    <t>https://eduspot.lightning.force.com/lightning/r/Report/00OPy000002VQl3MAG/view</t>
  </si>
  <si>
    <t xml:space="preserve">Percentage reduction of churn month on month compared to prior year </t>
  </si>
  <si>
    <t>UK Renewal Retention Dashboard | Salesforce</t>
  </si>
  <si>
    <t>https://eduspot.lightning.force.com/lightning/r/Report/00OPy000004gCIbMAM/view</t>
  </si>
  <si>
    <t>Number of Renewals Lost in Month</t>
  </si>
  <si>
    <t xml:space="preserve">Off pace V's Obj </t>
  </si>
  <si>
    <t>https://eduspot.lightning.force.com/lightning/r/Report/00OPy0000090wjaMAA/view</t>
  </si>
  <si>
    <t>Value of Renewals Lost in Month</t>
  </si>
  <si>
    <t>£125000</t>
  </si>
  <si>
    <t>https://eduspot.lightning.force.com/lightning/r/Report/00OPy0000090y2DMAQ/view</t>
  </si>
  <si>
    <t>High Value Comm customers engaging in 2 way conversation</t>
  </si>
  <si>
    <t>https://eduspot.lightning.force.com/lightning/r/Report/00OPy000005JGz5MAG/view</t>
  </si>
  <si>
    <t xml:space="preserve">High Value Comm customers using Eduspot App </t>
  </si>
  <si>
    <t>Customer Success | Salesforce</t>
  </si>
  <si>
    <t>Customer Succes Dashboard</t>
  </si>
  <si>
    <t>Converted Leads</t>
  </si>
  <si>
    <t>https://eduspot.lightning.force.com/lightning/r/Report/00OPy0000039MIvMAM/view</t>
  </si>
  <si>
    <t>Cross Sell Leads</t>
  </si>
  <si>
    <t>Off pace Vs objective</t>
  </si>
  <si>
    <t>https://eduspot.lightning.force.com/lightning/r/Report/00OPy000002VSgPMAW/view</t>
  </si>
  <si>
    <t>Customer
management</t>
  </si>
  <si>
    <t>Number inbound cases</t>
  </si>
  <si>
    <t>https://eduspot.lightning.force.com/lightning/r/Report/00OPy0000013oVyMAI/view</t>
  </si>
  <si>
    <t>% of cases resolved in 24 hours</t>
  </si>
  <si>
    <t xml:space="preserve">Nearly there </t>
  </si>
  <si>
    <t>No. of Customer Comms - 1 to many</t>
  </si>
  <si>
    <t>https://eduspot.lightning.force.com/lightning/r/Report/00OPy000004CHlyMAG/view</t>
  </si>
  <si>
    <t>NPS Participation</t>
  </si>
  <si>
    <t>Weekly NPS Responses-Declines-Participation .xlsx</t>
  </si>
  <si>
    <t>Leads Generated</t>
  </si>
  <si>
    <t>https://eduspot.lightning.force.com/lightning/r/Report/00OPy00000194iAMAQ/view</t>
  </si>
  <si>
    <t>Finance</t>
  </si>
  <si>
    <t>Total Aged AR</t>
  </si>
  <si>
    <t>Better</t>
  </si>
  <si>
    <t>180+</t>
  </si>
  <si>
    <t>Great</t>
  </si>
  <si>
    <t>% on overall Total AR</t>
  </si>
  <si>
    <t>90+</t>
  </si>
  <si>
    <t>Improving</t>
  </si>
  <si>
    <t>Project started P1</t>
  </si>
  <si>
    <t>No of Bills</t>
  </si>
  <si>
    <t>Manual Billing (integration)</t>
  </si>
  <si>
    <t>Net Value of the Bills</t>
  </si>
  <si>
    <t>Planned</t>
  </si>
  <si>
    <t>Cash collection</t>
  </si>
  <si>
    <t>Bank balance</t>
  </si>
  <si>
    <t>Forecasts</t>
  </si>
  <si>
    <t>Revenue</t>
  </si>
  <si>
    <t>Product</t>
  </si>
  <si>
    <t>App Usage (MAU - 30 days rolling)</t>
  </si>
  <si>
    <t>Eduspot App Usge (MAU - 30 days roll)</t>
  </si>
  <si>
    <t>Other App Usge (MAU - 30 days roll)</t>
  </si>
  <si>
    <t>People</t>
  </si>
  <si>
    <t>UK colleagues aligned with key messages</t>
  </si>
  <si>
    <t>Planned Roadmap Delivery Threshold (related releases)</t>
  </si>
  <si>
    <t>VenturEd Solutions US</t>
  </si>
  <si>
    <t>Weekly KPI measurement 2025</t>
  </si>
  <si>
    <t>Current Month - Oct</t>
  </si>
  <si>
    <t>Current Month - Nov</t>
  </si>
  <si>
    <t>December</t>
  </si>
  <si>
    <t>Current Month - Jan</t>
  </si>
  <si>
    <t>Current Month - Feb</t>
  </si>
  <si>
    <t>Total</t>
  </si>
  <si>
    <t>January Total</t>
  </si>
  <si>
    <t>February Total</t>
  </si>
  <si>
    <t>Weekly Target</t>
  </si>
  <si>
    <t>Current Monthly Target</t>
  </si>
  <si>
    <t>Who</t>
  </si>
  <si>
    <t>Gap</t>
  </si>
  <si>
    <t>Notes</t>
  </si>
  <si>
    <t>Bill</t>
  </si>
  <si>
    <t>Pipeline generation</t>
  </si>
  <si>
    <t>USD</t>
  </si>
  <si>
    <t xml:space="preserve">$510,688 </t>
  </si>
  <si>
    <t xml:space="preserve"> $713,397 </t>
  </si>
  <si>
    <t xml:space="preserve"> $2,016,283 </t>
  </si>
  <si>
    <t>Sales generated pipeline</t>
  </si>
  <si>
    <t xml:space="preserve">$248,387 </t>
  </si>
  <si>
    <t xml:space="preserve"> $179,734 </t>
  </si>
  <si>
    <t xml:space="preserve"> $1,559,452 </t>
  </si>
  <si>
    <t xml:space="preserve">$168,000 </t>
  </si>
  <si>
    <t xml:space="preserve">$672,000 </t>
  </si>
  <si>
    <t>Marketing generated pipeline</t>
  </si>
  <si>
    <t xml:space="preserve">$157,597 </t>
  </si>
  <si>
    <t xml:space="preserve"> $349,683 </t>
  </si>
  <si>
    <t xml:space="preserve"> $245,135 </t>
  </si>
  <si>
    <t xml:space="preserve">$84,000 </t>
  </si>
  <si>
    <t xml:space="preserve">$336,000 </t>
  </si>
  <si>
    <t>Internally generated pipeline</t>
  </si>
  <si>
    <t xml:space="preserve">$104,704 </t>
  </si>
  <si>
    <t xml:space="preserve"> $183,980 </t>
  </si>
  <si>
    <t xml:space="preserve"> $211,696 </t>
  </si>
  <si>
    <t xml:space="preserve">$28,000 </t>
  </si>
  <si>
    <t xml:space="preserve">$112,000 </t>
  </si>
  <si>
    <t>Closed:won</t>
  </si>
  <si>
    <t xml:space="preserve">$315,635 </t>
  </si>
  <si>
    <t xml:space="preserve"> $254,372 </t>
  </si>
  <si>
    <t xml:space="preserve"> $448,814 </t>
  </si>
  <si>
    <t xml:space="preserve">$710,289 </t>
  </si>
  <si>
    <t>Month forecast</t>
  </si>
  <si>
    <t xml:space="preserve">$345,000 </t>
  </si>
  <si>
    <t xml:space="preserve"> $397,000 </t>
  </si>
  <si>
    <t xml:space="preserve"> $336,310 </t>
  </si>
  <si>
    <t>US Turnaround 
product trends</t>
  </si>
  <si>
    <t>SSS number of new discussions</t>
  </si>
  <si>
    <t>Shishir</t>
  </si>
  <si>
    <t>Shishir, please fill</t>
  </si>
  <si>
    <t>SSS applications (thousands) / YoY%</t>
  </si>
  <si>
    <t>10.0 / ↓44%</t>
  </si>
  <si>
    <t>8.6 / ↓31%</t>
  </si>
  <si>
    <t>4.9 / ↓21%</t>
  </si>
  <si>
    <t>3.4 / ↓29%</t>
  </si>
  <si>
    <t>2.5 / ↓28%</t>
  </si>
  <si>
    <t>1.4 / ↓36%</t>
  </si>
  <si>
    <t>1.7 / ↓24%</t>
  </si>
  <si>
    <t>1.2 / ↓29%</t>
  </si>
  <si>
    <t>0.6 / ↓33%</t>
  </si>
  <si>
    <t>1.8 / ↓21%</t>
  </si>
  <si>
    <t>2.4 / ↓43%</t>
  </si>
  <si>
    <t>1.1 / ↓39%</t>
  </si>
  <si>
    <t>1.0 / ↓48%</t>
  </si>
  <si>
    <t>0.9 / ↓43%</t>
  </si>
  <si>
    <t>1.2 / ↓22%</t>
  </si>
  <si>
    <t>4.3 / ↓38%</t>
  </si>
  <si>
    <t>Ryan</t>
  </si>
  <si>
    <t>Ryan, please fill</t>
  </si>
  <si>
    <t>Payments usage</t>
  </si>
  <si>
    <t>ACH value</t>
  </si>
  <si>
    <t xml:space="preserve">$1,000 </t>
  </si>
  <si>
    <t xml:space="preserve"> $10,000 </t>
  </si>
  <si>
    <t>Card Value</t>
  </si>
  <si>
    <t xml:space="preserve">$2,000 </t>
  </si>
  <si>
    <t xml:space="preserve"> </t>
  </si>
  <si>
    <t>US Marketing</t>
  </si>
  <si>
    <t>MQL number</t>
  </si>
  <si>
    <t>Mandy</t>
  </si>
  <si>
    <t>MQL Target</t>
  </si>
  <si>
    <t>SQL/Opp number</t>
  </si>
  <si>
    <t>SQL/Opp Target</t>
  </si>
  <si>
    <t>MQL:SQL Conversion</t>
  </si>
  <si>
    <t>Marketing Opp Pipeline Value</t>
  </si>
  <si>
    <t xml:space="preserve">$167,630 </t>
  </si>
  <si>
    <t>Marketing Opp Pipeline Target</t>
  </si>
  <si>
    <t>SKO</t>
  </si>
  <si>
    <t>NCEA Webinar</t>
  </si>
  <si>
    <t>NAIS</t>
  </si>
  <si>
    <t>US Churn
management</t>
  </si>
  <si>
    <t>Number of cancels accepted</t>
  </si>
  <si>
    <t>Count</t>
  </si>
  <si>
    <t>Q4 -24</t>
  </si>
  <si>
    <t>Bryan</t>
  </si>
  <si>
    <t>Value of cancels accepted</t>
  </si>
  <si>
    <t>ARR Value</t>
  </si>
  <si>
    <t xml:space="preserve">$83,000 </t>
  </si>
  <si>
    <t xml:space="preserve"> $93,000 </t>
  </si>
  <si>
    <t>Ravenna Geo Plan (New Logo)</t>
  </si>
  <si>
    <t>Ravenna/SSS hubs 
(total number of schools)</t>
  </si>
  <si>
    <t>Reference clients from hubs</t>
  </si>
  <si>
    <t>US Success activity</t>
  </si>
  <si>
    <t>Number of unique customers engaged</t>
  </si>
  <si>
    <t>Customer meetings booked</t>
  </si>
  <si>
    <t>CampusPay Referrals</t>
  </si>
  <si>
    <t>SSS Referrals</t>
  </si>
  <si>
    <t>1000 Customers Engaged Q3</t>
  </si>
  <si>
    <t>New Metrics TBD for 2nd Half</t>
  </si>
  <si>
    <t>US Support</t>
  </si>
  <si>
    <t>Volume of inbound 2025</t>
  </si>
  <si>
    <t>N/A</t>
  </si>
  <si>
    <t>Craig</t>
  </si>
  <si>
    <t>Updated monthly only</t>
  </si>
  <si>
    <t>Volume of inbound 2024</t>
  </si>
  <si>
    <t>Reduction in inbound YoY</t>
  </si>
  <si>
    <t>22.7%*</t>
  </si>
  <si>
    <t>CSAT</t>
  </si>
  <si>
    <t>P3 Referrals Generated</t>
  </si>
  <si>
    <t>Referral Opportunity Created</t>
  </si>
  <si>
    <t>SSS applications</t>
  </si>
  <si>
    <t>Column1</t>
  </si>
  <si>
    <t>Column2</t>
  </si>
  <si>
    <t>Column3</t>
  </si>
  <si>
    <t>Column4</t>
  </si>
  <si>
    <t>Column5</t>
  </si>
  <si>
    <t>Column6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</si>
</sst>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$&quot;#,##0_);[Red]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164" formatCode="&quot;£&quot;#,##0;[Red]\-&quot;£&quot;#,##0"/>
    <numFmt numFmtId="165" formatCode="&quot;£&quot;#,##0.00;[Red]\-&quot;£&quot;#,##0.00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&quot;£&quot;#,##0.00"/>
    <numFmt numFmtId="169" formatCode="_-[$£-809]* #,##0.00_-;\-[$£-809]* #,##0.00_-;_-[$£-809]* &quot;-&quot;??_-;_-@_-"/>
    <numFmt numFmtId="170" formatCode="_-[$£-809]* #,##0_-;\-[$£-809]* #,##0_-;_-[$£-809]* &quot;-&quot;??_-;_-@_-"/>
    <numFmt numFmtId="171" formatCode="_([$$-409]* #,##0_);_([$$-409]* \(#,##0\);_([$$-409]* &quot;-&quot;??_);_(@_)"/>
    <numFmt numFmtId="172" formatCode="&quot;$&quot;#,##0"/>
    <numFmt numFmtId="173" formatCode="_-* #,##0_-;\-* #,##0_-;_-* &quot;-&quot;??_-;_-@_-"/>
    <numFmt numFmtId="174" formatCode="0.0%"/>
    <numFmt numFmtId="175" formatCode="&quot;£&quot;#,##0"/>
    <numFmt numFmtId="176" formatCode="_(&quot;$&quot;* #,##0_);_(&quot;$&quot;* \(#,##0\);_(&quot;$&quot;* &quot;-&quot;??_);_(@_)"/>
    <numFmt numFmtId="177" formatCode="_([$$-409]* #,##0.00_);_([$$-409]* \(#,##0.00\);_([$$-409]* &quot;-&quot;??_);_(@_)"/>
  </numFmts>
  <fonts count="3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u/>
      <sz val="10"/>
      <color rgb="FF000000"/>
      <name val="Arial"/>
      <family val="2"/>
    </font>
    <font>
      <sz val="1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rgb="FF70AD47"/>
      <name val="Arial"/>
      <family val="2"/>
    </font>
    <font>
      <sz val="10"/>
      <color rgb="FFBFBFBF"/>
      <name val="Arial"/>
      <family val="2"/>
    </font>
    <font>
      <b/>
      <u/>
      <sz val="10"/>
      <color rgb="FF00000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i/>
      <sz val="10"/>
      <name val="Arial"/>
      <family val="2"/>
    </font>
    <font>
      <b/>
      <sz val="10"/>
      <color rgb="FFFFC000"/>
      <name val="Arial"/>
      <family val="2"/>
    </font>
    <font>
      <b/>
      <sz val="10"/>
      <color theme="0" tint="-0.14999847407452621"/>
      <name val="Arial"/>
      <family val="2"/>
    </font>
    <font>
      <sz val="11"/>
      <color rgb="FFFF0000"/>
      <name val="Aptos Narrow"/>
      <family val="2"/>
      <scheme val="minor"/>
    </font>
    <font>
      <b/>
      <sz val="10"/>
      <color theme="9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i/>
      <sz val="10"/>
      <name val="Arial"/>
      <family val="2"/>
    </font>
    <font>
      <b/>
      <sz val="10"/>
      <color rgb="FF92D050"/>
      <name val="Arial"/>
      <family val="2"/>
    </font>
    <font>
      <sz val="10"/>
      <color theme="0" tint="-0.14999847407452621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sz val="11"/>
      <color theme="0" tint="-0.249977111117893"/>
      <name val="Aptos Narrow"/>
      <family val="2"/>
      <scheme val="minor"/>
    </font>
    <font>
      <b/>
      <sz val="10"/>
      <color theme="1"/>
      <name val="Arial"/>
      <family val="2"/>
    </font>
    <font>
      <sz val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749992370372631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5" fillId="0" borderId="0" applyNumberFormat="0" applyFill="0" applyBorder="0" applyAlignment="0" applyProtection="0"/>
  </cellStyleXfs>
  <cellXfs count="402">
    <xf numFmtId="0" fontId="0" fillId="0" borderId="0" xfId="0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2" borderId="0" xfId="0" applyFont="1" applyFill="1"/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wrapText="1"/>
    </xf>
    <xf numFmtId="0" fontId="4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3" borderId="3" xfId="0" applyFont="1" applyFill="1" applyBorder="1"/>
    <xf numFmtId="0" fontId="4" fillId="3" borderId="3" xfId="0" applyFont="1" applyFill="1" applyBorder="1" applyAlignment="1">
      <alignment horizontal="center"/>
    </xf>
    <xf numFmtId="0" fontId="7" fillId="2" borderId="0" xfId="0" applyFont="1" applyFill="1"/>
    <xf numFmtId="0" fontId="4" fillId="3" borderId="0" xfId="0" applyFont="1" applyFill="1" applyAlignment="1">
      <alignment horizontal="right"/>
    </xf>
    <xf numFmtId="0" fontId="4" fillId="3" borderId="0" xfId="0" applyFont="1" applyFill="1"/>
    <xf numFmtId="0" fontId="9" fillId="3" borderId="0" xfId="0" applyFont="1" applyFill="1" applyAlignment="1">
      <alignment horizontal="center" vertical="center"/>
    </xf>
    <xf numFmtId="164" fontId="4" fillId="3" borderId="3" xfId="0" applyNumberFormat="1" applyFont="1" applyFill="1" applyBorder="1" applyAlignment="1">
      <alignment horizontal="center"/>
    </xf>
    <xf numFmtId="9" fontId="4" fillId="3" borderId="3" xfId="0" applyNumberFormat="1" applyFont="1" applyFill="1" applyBorder="1" applyAlignment="1">
      <alignment horizontal="center" wrapText="1"/>
    </xf>
    <xf numFmtId="9" fontId="4" fillId="3" borderId="3" xfId="0" applyNumberFormat="1" applyFont="1" applyFill="1" applyBorder="1" applyAlignment="1">
      <alignment horizontal="center"/>
    </xf>
    <xf numFmtId="0" fontId="4" fillId="3" borderId="5" xfId="0" applyFont="1" applyFill="1" applyBorder="1"/>
    <xf numFmtId="0" fontId="3" fillId="3" borderId="0" xfId="0" applyFont="1" applyFill="1" applyAlignment="1">
      <alignment horizontal="center" vertical="center"/>
    </xf>
    <xf numFmtId="0" fontId="4" fillId="3" borderId="5" xfId="0" applyFont="1" applyFill="1" applyBorder="1" applyAlignment="1">
      <alignment horizontal="left" vertical="center" wrapText="1"/>
    </xf>
    <xf numFmtId="164" fontId="4" fillId="3" borderId="3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left" vertical="center"/>
    </xf>
    <xf numFmtId="9" fontId="4" fillId="3" borderId="0" xfId="0" applyNumberFormat="1" applyFont="1" applyFill="1"/>
    <xf numFmtId="0" fontId="9" fillId="3" borderId="0" xfId="0" applyFont="1" applyFill="1" applyAlignment="1">
      <alignment vertical="center"/>
    </xf>
    <xf numFmtId="0" fontId="4" fillId="3" borderId="3" xfId="0" applyFont="1" applyFill="1" applyBorder="1" applyAlignment="1">
      <alignment horizontal="right"/>
    </xf>
    <xf numFmtId="164" fontId="4" fillId="3" borderId="3" xfId="0" applyNumberFormat="1" applyFont="1" applyFill="1" applyBorder="1"/>
    <xf numFmtId="164" fontId="4" fillId="3" borderId="3" xfId="0" applyNumberFormat="1" applyFont="1" applyFill="1" applyBorder="1" applyAlignment="1">
      <alignment horizontal="right"/>
    </xf>
    <xf numFmtId="0" fontId="7" fillId="3" borderId="3" xfId="0" applyFont="1" applyFill="1" applyBorder="1"/>
    <xf numFmtId="9" fontId="4" fillId="3" borderId="3" xfId="1" applyFont="1" applyFill="1" applyBorder="1" applyAlignment="1">
      <alignment horizontal="center"/>
    </xf>
    <xf numFmtId="0" fontId="7" fillId="3" borderId="0" xfId="0" applyFont="1" applyFill="1"/>
    <xf numFmtId="164" fontId="7" fillId="3" borderId="3" xfId="0" applyNumberFormat="1" applyFont="1" applyFill="1" applyBorder="1" applyAlignment="1">
      <alignment horizontal="center"/>
    </xf>
    <xf numFmtId="9" fontId="7" fillId="3" borderId="3" xfId="0" applyNumberFormat="1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4" fillId="2" borderId="0" xfId="0" applyFont="1" applyFill="1" applyAlignment="1">
      <alignment horizontal="left"/>
    </xf>
    <xf numFmtId="0" fontId="4" fillId="3" borderId="3" xfId="0" applyFont="1" applyFill="1" applyBorder="1" applyAlignment="1">
      <alignment wrapText="1"/>
    </xf>
    <xf numFmtId="9" fontId="4" fillId="3" borderId="3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 wrapText="1"/>
    </xf>
    <xf numFmtId="3" fontId="4" fillId="3" borderId="3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11" fillId="2" borderId="3" xfId="0" applyFont="1" applyFill="1" applyBorder="1" applyAlignment="1">
      <alignment wrapText="1"/>
    </xf>
    <xf numFmtId="0" fontId="11" fillId="2" borderId="3" xfId="0" applyFont="1" applyFill="1" applyBorder="1" applyAlignment="1">
      <alignment horizontal="center"/>
    </xf>
    <xf numFmtId="0" fontId="7" fillId="2" borderId="0" xfId="0" applyFont="1" applyFill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2" borderId="3" xfId="0" applyFont="1" applyFill="1" applyBorder="1"/>
    <xf numFmtId="0" fontId="4" fillId="4" borderId="0" xfId="0" applyFont="1" applyFill="1"/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/>
    </xf>
    <xf numFmtId="0" fontId="4" fillId="5" borderId="0" xfId="0" applyFont="1" applyFill="1" applyAlignment="1">
      <alignment horizontal="right"/>
    </xf>
    <xf numFmtId="0" fontId="4" fillId="5" borderId="0" xfId="0" applyFont="1" applyFill="1" applyAlignment="1">
      <alignment horizontal="center" vertical="center"/>
    </xf>
    <xf numFmtId="0" fontId="4" fillId="5" borderId="0" xfId="0" applyFont="1" applyFill="1"/>
    <xf numFmtId="0" fontId="7" fillId="5" borderId="0" xfId="0" applyFont="1" applyFill="1"/>
    <xf numFmtId="0" fontId="11" fillId="4" borderId="0" xfId="0" applyFont="1" applyFill="1" applyAlignment="1">
      <alignment horizontal="center"/>
    </xf>
    <xf numFmtId="0" fontId="4" fillId="5" borderId="0" xfId="0" applyFont="1" applyFill="1" applyAlignment="1">
      <alignment vertical="center"/>
    </xf>
    <xf numFmtId="0" fontId="5" fillId="4" borderId="0" xfId="0" applyFont="1" applyFill="1"/>
    <xf numFmtId="0" fontId="3" fillId="6" borderId="3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7" fillId="2" borderId="3" xfId="0" applyFont="1" applyFill="1" applyBorder="1"/>
    <xf numFmtId="0" fontId="7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164" fontId="7" fillId="2" borderId="3" xfId="0" applyNumberFormat="1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9" fontId="7" fillId="2" borderId="3" xfId="0" applyNumberFormat="1" applyFont="1" applyFill="1" applyBorder="1" applyAlignment="1">
      <alignment horizontal="center"/>
    </xf>
    <xf numFmtId="164" fontId="7" fillId="2" borderId="3" xfId="0" applyNumberFormat="1" applyFont="1" applyFill="1" applyBorder="1" applyAlignment="1">
      <alignment horizontal="center" vertical="center"/>
    </xf>
    <xf numFmtId="9" fontId="7" fillId="2" borderId="3" xfId="0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3" fontId="4" fillId="3" borderId="3" xfId="0" applyNumberFormat="1" applyFont="1" applyFill="1" applyBorder="1" applyAlignment="1">
      <alignment horizontal="center"/>
    </xf>
    <xf numFmtId="0" fontId="6" fillId="4" borderId="0" xfId="0" applyFont="1" applyFill="1" applyAlignment="1">
      <alignment horizontal="right"/>
    </xf>
    <xf numFmtId="0" fontId="4" fillId="4" borderId="0" xfId="0" applyFont="1" applyFill="1" applyAlignment="1">
      <alignment horizontal="right"/>
    </xf>
    <xf numFmtId="0" fontId="4" fillId="4" borderId="0" xfId="0" applyFont="1" applyFill="1" applyAlignment="1">
      <alignment vertical="center"/>
    </xf>
    <xf numFmtId="0" fontId="3" fillId="6" borderId="3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/>
    </xf>
    <xf numFmtId="0" fontId="3" fillId="7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/>
    <xf numFmtId="0" fontId="3" fillId="6" borderId="6" xfId="0" applyFont="1" applyFill="1" applyBorder="1" applyAlignment="1">
      <alignment horizontal="center" vertical="center"/>
    </xf>
    <xf numFmtId="0" fontId="15" fillId="3" borderId="3" xfId="0" applyFont="1" applyFill="1" applyBorder="1"/>
    <xf numFmtId="0" fontId="15" fillId="3" borderId="3" xfId="0" applyFont="1" applyFill="1" applyBorder="1" applyAlignment="1">
      <alignment horizontal="center"/>
    </xf>
    <xf numFmtId="3" fontId="7" fillId="3" borderId="3" xfId="0" applyNumberFormat="1" applyFont="1" applyFill="1" applyBorder="1" applyAlignment="1">
      <alignment horizontal="center"/>
    </xf>
    <xf numFmtId="10" fontId="7" fillId="3" borderId="3" xfId="0" applyNumberFormat="1" applyFont="1" applyFill="1" applyBorder="1" applyAlignment="1">
      <alignment horizontal="center"/>
    </xf>
    <xf numFmtId="0" fontId="7" fillId="4" borderId="0" xfId="0" applyFont="1" applyFill="1"/>
    <xf numFmtId="0" fontId="7" fillId="3" borderId="3" xfId="0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12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3" fillId="6" borderId="3" xfId="0" applyFont="1" applyFill="1" applyBorder="1" applyAlignment="1">
      <alignment horizontal="center"/>
    </xf>
    <xf numFmtId="0" fontId="13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13" fillId="2" borderId="3" xfId="0" applyFont="1" applyFill="1" applyBorder="1"/>
    <xf numFmtId="0" fontId="15" fillId="2" borderId="3" xfId="0" applyFont="1" applyFill="1" applyBorder="1"/>
    <xf numFmtId="6" fontId="7" fillId="3" borderId="3" xfId="0" applyNumberFormat="1" applyFont="1" applyFill="1" applyBorder="1" applyAlignment="1">
      <alignment horizontal="center"/>
    </xf>
    <xf numFmtId="169" fontId="7" fillId="2" borderId="3" xfId="0" applyNumberFormat="1" applyFont="1" applyFill="1" applyBorder="1" applyAlignment="1">
      <alignment horizontal="center" vertical="center"/>
    </xf>
    <xf numFmtId="169" fontId="7" fillId="2" borderId="3" xfId="0" applyNumberFormat="1" applyFont="1" applyFill="1" applyBorder="1" applyAlignment="1">
      <alignment horizontal="center"/>
    </xf>
    <xf numFmtId="3" fontId="7" fillId="2" borderId="3" xfId="0" applyNumberFormat="1" applyFont="1" applyFill="1" applyBorder="1" applyAlignment="1">
      <alignment horizontal="center" vertical="center"/>
    </xf>
    <xf numFmtId="170" fontId="7" fillId="2" borderId="3" xfId="0" applyNumberFormat="1" applyFont="1" applyFill="1" applyBorder="1" applyAlignment="1">
      <alignment horizontal="center"/>
    </xf>
    <xf numFmtId="170" fontId="5" fillId="0" borderId="0" xfId="0" applyNumberFormat="1" applyFont="1"/>
    <xf numFmtId="9" fontId="7" fillId="2" borderId="3" xfId="0" applyNumberFormat="1" applyFont="1" applyFill="1" applyBorder="1"/>
    <xf numFmtId="171" fontId="7" fillId="3" borderId="3" xfId="0" applyNumberFormat="1" applyFont="1" applyFill="1" applyBorder="1" applyAlignment="1">
      <alignment horizontal="center"/>
    </xf>
    <xf numFmtId="172" fontId="15" fillId="3" borderId="3" xfId="0" applyNumberFormat="1" applyFont="1" applyFill="1" applyBorder="1" applyAlignment="1">
      <alignment horizontal="center"/>
    </xf>
    <xf numFmtId="172" fontId="7" fillId="3" borderId="3" xfId="0" applyNumberFormat="1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171" fontId="7" fillId="3" borderId="0" xfId="0" applyNumberFormat="1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6" fontId="7" fillId="3" borderId="0" xfId="0" applyNumberFormat="1" applyFont="1" applyFill="1"/>
    <xf numFmtId="0" fontId="4" fillId="2" borderId="6" xfId="0" applyFont="1" applyFill="1" applyBorder="1"/>
    <xf numFmtId="9" fontId="3" fillId="3" borderId="3" xfId="0" applyNumberFormat="1" applyFont="1" applyFill="1" applyBorder="1" applyAlignment="1">
      <alignment horizontal="center"/>
    </xf>
    <xf numFmtId="164" fontId="3" fillId="3" borderId="3" xfId="0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4" fontId="3" fillId="3" borderId="3" xfId="0" applyNumberFormat="1" applyFont="1" applyFill="1" applyBorder="1" applyAlignment="1">
      <alignment horizontal="center" vertical="center"/>
    </xf>
    <xf numFmtId="0" fontId="3" fillId="3" borderId="0" xfId="0" applyFont="1" applyFill="1"/>
    <xf numFmtId="0" fontId="3" fillId="2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17" fillId="2" borderId="3" xfId="0" applyFont="1" applyFill="1" applyBorder="1" applyAlignment="1">
      <alignment horizontal="center"/>
    </xf>
    <xf numFmtId="1" fontId="3" fillId="3" borderId="3" xfId="0" applyNumberFormat="1" applyFont="1" applyFill="1" applyBorder="1" applyAlignment="1">
      <alignment horizontal="center"/>
    </xf>
    <xf numFmtId="1" fontId="3" fillId="3" borderId="3" xfId="0" applyNumberFormat="1" applyFont="1" applyFill="1" applyBorder="1" applyAlignment="1">
      <alignment horizontal="right"/>
    </xf>
    <xf numFmtId="170" fontId="3" fillId="3" borderId="3" xfId="0" applyNumberFormat="1" applyFont="1" applyFill="1" applyBorder="1" applyAlignment="1">
      <alignment horizontal="right"/>
    </xf>
    <xf numFmtId="9" fontId="3" fillId="3" borderId="3" xfId="0" applyNumberFormat="1" applyFont="1" applyFill="1" applyBorder="1"/>
    <xf numFmtId="9" fontId="13" fillId="3" borderId="3" xfId="0" applyNumberFormat="1" applyFont="1" applyFill="1" applyBorder="1" applyAlignment="1">
      <alignment horizontal="center" vertical="center"/>
    </xf>
    <xf numFmtId="1" fontId="3" fillId="3" borderId="3" xfId="0" applyNumberFormat="1" applyFont="1" applyFill="1" applyBorder="1" applyAlignment="1">
      <alignment horizontal="center" vertical="center"/>
    </xf>
    <xf numFmtId="170" fontId="7" fillId="2" borderId="3" xfId="0" applyNumberFormat="1" applyFont="1" applyFill="1" applyBorder="1" applyAlignment="1">
      <alignment horizontal="center" vertical="center"/>
    </xf>
    <xf numFmtId="170" fontId="3" fillId="3" borderId="3" xfId="0" applyNumberFormat="1" applyFont="1" applyFill="1" applyBorder="1" applyAlignment="1">
      <alignment horizontal="center" vertical="center"/>
    </xf>
    <xf numFmtId="9" fontId="3" fillId="3" borderId="3" xfId="0" applyNumberFormat="1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center" vertical="center"/>
    </xf>
    <xf numFmtId="170" fontId="4" fillId="2" borderId="3" xfId="0" applyNumberFormat="1" applyFont="1" applyFill="1" applyBorder="1" applyAlignment="1">
      <alignment horizontal="right"/>
    </xf>
    <xf numFmtId="170" fontId="4" fillId="3" borderId="3" xfId="0" applyNumberFormat="1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164" fontId="4" fillId="3" borderId="15" xfId="0" applyNumberFormat="1" applyFont="1" applyFill="1" applyBorder="1" applyAlignment="1">
      <alignment horizontal="center"/>
    </xf>
    <xf numFmtId="0" fontId="3" fillId="2" borderId="16" xfId="0" applyFont="1" applyFill="1" applyBorder="1"/>
    <xf numFmtId="0" fontId="4" fillId="2" borderId="16" xfId="0" applyFont="1" applyFill="1" applyBorder="1"/>
    <xf numFmtId="0" fontId="5" fillId="2" borderId="16" xfId="0" applyFont="1" applyFill="1" applyBorder="1"/>
    <xf numFmtId="0" fontId="3" fillId="2" borderId="17" xfId="0" applyFont="1" applyFill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9" fontId="4" fillId="3" borderId="15" xfId="0" applyNumberFormat="1" applyFont="1" applyFill="1" applyBorder="1" applyAlignment="1">
      <alignment horizontal="center"/>
    </xf>
    <xf numFmtId="3" fontId="4" fillId="3" borderId="15" xfId="0" applyNumberFormat="1" applyFont="1" applyFill="1" applyBorder="1" applyAlignment="1">
      <alignment horizontal="center"/>
    </xf>
    <xf numFmtId="164" fontId="4" fillId="3" borderId="15" xfId="0" applyNumberFormat="1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9" fontId="4" fillId="3" borderId="15" xfId="0" applyNumberFormat="1" applyFont="1" applyFill="1" applyBorder="1" applyAlignment="1">
      <alignment horizontal="center" vertical="center"/>
    </xf>
    <xf numFmtId="3" fontId="4" fillId="3" borderId="15" xfId="0" applyNumberFormat="1" applyFont="1" applyFill="1" applyBorder="1" applyAlignment="1">
      <alignment horizontal="center" vertical="center"/>
    </xf>
    <xf numFmtId="0" fontId="4" fillId="3" borderId="18" xfId="0" applyFont="1" applyFill="1" applyBorder="1"/>
    <xf numFmtId="0" fontId="4" fillId="3" borderId="15" xfId="0" applyFont="1" applyFill="1" applyBorder="1"/>
    <xf numFmtId="9" fontId="4" fillId="2" borderId="3" xfId="0" applyNumberFormat="1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8" borderId="1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170" fontId="7" fillId="2" borderId="3" xfId="0" applyNumberFormat="1" applyFont="1" applyFill="1" applyBorder="1" applyAlignment="1">
      <alignment horizontal="right"/>
    </xf>
    <xf numFmtId="1" fontId="15" fillId="3" borderId="3" xfId="0" applyNumberFormat="1" applyFont="1" applyFill="1" applyBorder="1" applyAlignment="1">
      <alignment horizontal="center"/>
    </xf>
    <xf numFmtId="1" fontId="4" fillId="3" borderId="3" xfId="0" applyNumberFormat="1" applyFont="1" applyFill="1" applyBorder="1" applyAlignment="1">
      <alignment horizontal="center"/>
    </xf>
    <xf numFmtId="1" fontId="4" fillId="3" borderId="6" xfId="0" applyNumberFormat="1" applyFont="1" applyFill="1" applyBorder="1" applyAlignment="1">
      <alignment horizontal="center"/>
    </xf>
    <xf numFmtId="1" fontId="7" fillId="3" borderId="3" xfId="0" applyNumberFormat="1" applyFont="1" applyFill="1" applyBorder="1" applyAlignment="1">
      <alignment horizontal="center"/>
    </xf>
    <xf numFmtId="0" fontId="7" fillId="3" borderId="5" xfId="0" applyFont="1" applyFill="1" applyBorder="1" applyAlignment="1">
      <alignment wrapText="1"/>
    </xf>
    <xf numFmtId="0" fontId="7" fillId="3" borderId="5" xfId="0" applyFont="1" applyFill="1" applyBorder="1"/>
    <xf numFmtId="170" fontId="4" fillId="3" borderId="15" xfId="0" applyNumberFormat="1" applyFont="1" applyFill="1" applyBorder="1" applyAlignment="1">
      <alignment horizontal="center"/>
    </xf>
    <xf numFmtId="0" fontId="16" fillId="3" borderId="3" xfId="0" applyFont="1" applyFill="1" applyBorder="1" applyAlignment="1">
      <alignment horizontal="center"/>
    </xf>
    <xf numFmtId="0" fontId="0" fillId="2" borderId="0" xfId="0" applyFill="1"/>
    <xf numFmtId="0" fontId="18" fillId="2" borderId="0" xfId="0" applyFont="1" applyFill="1"/>
    <xf numFmtId="170" fontId="5" fillId="2" borderId="0" xfId="0" applyNumberFormat="1" applyFont="1" applyFill="1"/>
    <xf numFmtId="0" fontId="19" fillId="3" borderId="3" xfId="0" applyFont="1" applyFill="1" applyBorder="1" applyAlignment="1">
      <alignment horizontal="center" vertical="center"/>
    </xf>
    <xf numFmtId="170" fontId="5" fillId="2" borderId="16" xfId="0" applyNumberFormat="1" applyFont="1" applyFill="1" applyBorder="1"/>
    <xf numFmtId="0" fontId="7" fillId="3" borderId="4" xfId="0" applyFont="1" applyFill="1" applyBorder="1"/>
    <xf numFmtId="0" fontId="7" fillId="2" borderId="16" xfId="0" applyFont="1" applyFill="1" applyBorder="1"/>
    <xf numFmtId="0" fontId="4" fillId="3" borderId="21" xfId="0" applyFont="1" applyFill="1" applyBorder="1"/>
    <xf numFmtId="0" fontId="3" fillId="6" borderId="22" xfId="0" applyFont="1" applyFill="1" applyBorder="1" applyAlignment="1">
      <alignment horizontal="center" vertical="center"/>
    </xf>
    <xf numFmtId="0" fontId="7" fillId="0" borderId="3" xfId="0" applyFont="1" applyBorder="1"/>
    <xf numFmtId="0" fontId="7" fillId="0" borderId="3" xfId="0" applyFont="1" applyBorder="1" applyAlignment="1">
      <alignment horizontal="center"/>
    </xf>
    <xf numFmtId="1" fontId="4" fillId="3" borderId="3" xfId="0" applyNumberFormat="1" applyFont="1" applyFill="1" applyBorder="1" applyAlignment="1">
      <alignment horizontal="right"/>
    </xf>
    <xf numFmtId="170" fontId="4" fillId="3" borderId="3" xfId="0" applyNumberFormat="1" applyFont="1" applyFill="1" applyBorder="1" applyAlignment="1">
      <alignment horizontal="right"/>
    </xf>
    <xf numFmtId="9" fontId="4" fillId="3" borderId="3" xfId="0" applyNumberFormat="1" applyFont="1" applyFill="1" applyBorder="1" applyAlignment="1">
      <alignment horizontal="right"/>
    </xf>
    <xf numFmtId="1" fontId="4" fillId="3" borderId="3" xfId="0" applyNumberFormat="1" applyFont="1" applyFill="1" applyBorder="1" applyAlignment="1">
      <alignment horizontal="center" vertical="center"/>
    </xf>
    <xf numFmtId="170" fontId="4" fillId="3" borderId="3" xfId="0" applyNumberFormat="1" applyFont="1" applyFill="1" applyBorder="1" applyAlignment="1">
      <alignment horizontal="center" vertical="center"/>
    </xf>
    <xf numFmtId="9" fontId="4" fillId="3" borderId="3" xfId="0" applyNumberFormat="1" applyFont="1" applyFill="1" applyBorder="1"/>
    <xf numFmtId="174" fontId="4" fillId="2" borderId="3" xfId="0" applyNumberFormat="1" applyFont="1" applyFill="1" applyBorder="1" applyAlignment="1">
      <alignment wrapText="1"/>
    </xf>
    <xf numFmtId="171" fontId="15" fillId="3" borderId="3" xfId="0" applyNumberFormat="1" applyFont="1" applyFill="1" applyBorder="1" applyAlignment="1">
      <alignment horizontal="center"/>
    </xf>
    <xf numFmtId="173" fontId="7" fillId="2" borderId="16" xfId="2" applyNumberFormat="1" applyFont="1" applyFill="1" applyBorder="1"/>
    <xf numFmtId="10" fontId="7" fillId="3" borderId="0" xfId="0" applyNumberFormat="1" applyFont="1" applyFill="1" applyAlignment="1">
      <alignment horizontal="center"/>
    </xf>
    <xf numFmtId="9" fontId="7" fillId="3" borderId="0" xfId="0" applyNumberFormat="1" applyFont="1" applyFill="1" applyAlignment="1">
      <alignment horizontal="center"/>
    </xf>
    <xf numFmtId="0" fontId="7" fillId="9" borderId="3" xfId="0" applyFont="1" applyFill="1" applyBorder="1" applyAlignment="1">
      <alignment horizontal="center"/>
    </xf>
    <xf numFmtId="0" fontId="16" fillId="3" borderId="3" xfId="0" applyFont="1" applyFill="1" applyBorder="1" applyAlignment="1">
      <alignment horizontal="center" vertical="center"/>
    </xf>
    <xf numFmtId="164" fontId="7" fillId="2" borderId="15" xfId="0" applyNumberFormat="1" applyFont="1" applyFill="1" applyBorder="1" applyAlignment="1">
      <alignment horizontal="center" vertical="center"/>
    </xf>
    <xf numFmtId="0" fontId="7" fillId="0" borderId="16" xfId="0" applyFont="1" applyBorder="1"/>
    <xf numFmtId="171" fontId="7" fillId="0" borderId="3" xfId="0" applyNumberFormat="1" applyFont="1" applyBorder="1" applyAlignment="1">
      <alignment horizontal="center"/>
    </xf>
    <xf numFmtId="170" fontId="7" fillId="2" borderId="5" xfId="0" applyNumberFormat="1" applyFont="1" applyFill="1" applyBorder="1" applyAlignment="1">
      <alignment horizontal="center" vertical="center"/>
    </xf>
    <xf numFmtId="3" fontId="3" fillId="3" borderId="3" xfId="0" applyNumberFormat="1" applyFont="1" applyFill="1" applyBorder="1" applyAlignment="1">
      <alignment horizontal="center" vertical="center"/>
    </xf>
    <xf numFmtId="0" fontId="7" fillId="0" borderId="0" xfId="0" applyFont="1"/>
    <xf numFmtId="41" fontId="7" fillId="3" borderId="3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8" fillId="3" borderId="3" xfId="0" applyFont="1" applyFill="1" applyBorder="1" applyAlignment="1">
      <alignment horizontal="center"/>
    </xf>
    <xf numFmtId="172" fontId="7" fillId="3" borderId="3" xfId="0" applyNumberFormat="1" applyFont="1" applyFill="1" applyBorder="1"/>
    <xf numFmtId="165" fontId="7" fillId="2" borderId="4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right"/>
    </xf>
    <xf numFmtId="175" fontId="0" fillId="0" borderId="3" xfId="0" applyNumberFormat="1" applyBorder="1" applyAlignment="1">
      <alignment horizontal="right"/>
    </xf>
    <xf numFmtId="175" fontId="7" fillId="0" borderId="3" xfId="0" applyNumberFormat="1" applyFont="1" applyBorder="1" applyAlignment="1">
      <alignment horizontal="center"/>
    </xf>
    <xf numFmtId="170" fontId="7" fillId="3" borderId="3" xfId="0" applyNumberFormat="1" applyFont="1" applyFill="1" applyBorder="1"/>
    <xf numFmtId="9" fontId="7" fillId="3" borderId="3" xfId="0" applyNumberFormat="1" applyFont="1" applyFill="1" applyBorder="1" applyAlignment="1">
      <alignment horizontal="center" vertical="center"/>
    </xf>
    <xf numFmtId="175" fontId="4" fillId="3" borderId="3" xfId="0" applyNumberFormat="1" applyFont="1" applyFill="1" applyBorder="1" applyAlignment="1">
      <alignment horizontal="right" vertical="center"/>
    </xf>
    <xf numFmtId="175" fontId="4" fillId="3" borderId="3" xfId="0" applyNumberFormat="1" applyFont="1" applyFill="1" applyBorder="1" applyAlignment="1">
      <alignment vertical="center"/>
    </xf>
    <xf numFmtId="175" fontId="4" fillId="3" borderId="3" xfId="0" applyNumberFormat="1" applyFont="1" applyFill="1" applyBorder="1" applyAlignment="1">
      <alignment horizontal="right"/>
    </xf>
    <xf numFmtId="175" fontId="4" fillId="3" borderId="3" xfId="0" applyNumberFormat="1" applyFont="1" applyFill="1" applyBorder="1"/>
    <xf numFmtId="0" fontId="5" fillId="2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9" fontId="20" fillId="0" borderId="3" xfId="0" applyNumberFormat="1" applyFont="1" applyBorder="1" applyAlignment="1">
      <alignment horizontal="center"/>
    </xf>
    <xf numFmtId="172" fontId="5" fillId="0" borderId="3" xfId="0" applyNumberFormat="1" applyFont="1" applyBorder="1" applyAlignment="1">
      <alignment horizontal="center"/>
    </xf>
    <xf numFmtId="0" fontId="22" fillId="3" borderId="3" xfId="0" applyFont="1" applyFill="1" applyBorder="1" applyAlignment="1">
      <alignment horizontal="center"/>
    </xf>
    <xf numFmtId="0" fontId="21" fillId="3" borderId="3" xfId="0" applyFont="1" applyFill="1" applyBorder="1" applyAlignment="1">
      <alignment horizontal="center"/>
    </xf>
    <xf numFmtId="164" fontId="4" fillId="2" borderId="23" xfId="0" applyNumberFormat="1" applyFont="1" applyFill="1" applyBorder="1" applyAlignment="1">
      <alignment horizontal="center" vertical="center"/>
    </xf>
    <xf numFmtId="9" fontId="4" fillId="2" borderId="3" xfId="0" applyNumberFormat="1" applyFont="1" applyFill="1" applyBorder="1" applyAlignment="1">
      <alignment horizontal="center" vertical="center"/>
    </xf>
    <xf numFmtId="9" fontId="4" fillId="2" borderId="0" xfId="0" applyNumberFormat="1" applyFont="1" applyFill="1" applyAlignment="1">
      <alignment horizontal="center"/>
    </xf>
    <xf numFmtId="0" fontId="23" fillId="3" borderId="3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164" fontId="7" fillId="2" borderId="3" xfId="0" applyNumberFormat="1" applyFont="1" applyFill="1" applyBorder="1" applyAlignment="1">
      <alignment horizontal="right"/>
    </xf>
    <xf numFmtId="0" fontId="7" fillId="2" borderId="3" xfId="0" applyFont="1" applyFill="1" applyBorder="1" applyAlignment="1">
      <alignment horizontal="right"/>
    </xf>
    <xf numFmtId="6" fontId="7" fillId="2" borderId="3" xfId="0" applyNumberFormat="1" applyFont="1" applyFill="1" applyBorder="1"/>
    <xf numFmtId="1" fontId="7" fillId="0" borderId="3" xfId="0" applyNumberFormat="1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9" fontId="15" fillId="0" borderId="3" xfId="0" applyNumberFormat="1" applyFont="1" applyBorder="1" applyAlignment="1">
      <alignment horizontal="center"/>
    </xf>
    <xf numFmtId="172" fontId="7" fillId="0" borderId="3" xfId="0" applyNumberFormat="1" applyFont="1" applyBorder="1" applyAlignment="1">
      <alignment horizontal="center"/>
    </xf>
    <xf numFmtId="172" fontId="15" fillId="0" borderId="3" xfId="0" applyNumberFormat="1" applyFont="1" applyBorder="1" applyAlignment="1">
      <alignment horizontal="center"/>
    </xf>
    <xf numFmtId="6" fontId="7" fillId="0" borderId="3" xfId="0" applyNumberFormat="1" applyFont="1" applyBorder="1" applyAlignment="1">
      <alignment horizontal="center"/>
    </xf>
    <xf numFmtId="171" fontId="15" fillId="0" borderId="3" xfId="0" applyNumberFormat="1" applyFont="1" applyBorder="1" applyAlignment="1">
      <alignment horizontal="center"/>
    </xf>
    <xf numFmtId="176" fontId="7" fillId="0" borderId="3" xfId="3" applyNumberFormat="1" applyFont="1" applyFill="1" applyBorder="1" applyAlignment="1">
      <alignment horizontal="center"/>
    </xf>
    <xf numFmtId="176" fontId="15" fillId="0" borderId="3" xfId="3" applyNumberFormat="1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68" fontId="7" fillId="2" borderId="3" xfId="0" applyNumberFormat="1" applyFont="1" applyFill="1" applyBorder="1" applyAlignment="1">
      <alignment horizontal="center" vertical="center"/>
    </xf>
    <xf numFmtId="9" fontId="15" fillId="3" borderId="16" xfId="0" applyNumberFormat="1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/>
    </xf>
    <xf numFmtId="1" fontId="15" fillId="3" borderId="6" xfId="0" applyNumberFormat="1" applyFont="1" applyFill="1" applyBorder="1" applyAlignment="1">
      <alignment horizontal="center"/>
    </xf>
    <xf numFmtId="164" fontId="4" fillId="3" borderId="3" xfId="0" applyNumberFormat="1" applyFont="1" applyFill="1" applyBorder="1" applyAlignment="1">
      <alignment horizontal="right" vertical="center"/>
    </xf>
    <xf numFmtId="9" fontId="7" fillId="3" borderId="3" xfId="0" applyNumberFormat="1" applyFont="1" applyFill="1" applyBorder="1" applyAlignment="1">
      <alignment horizontal="right" vertical="center"/>
    </xf>
    <xf numFmtId="10" fontId="7" fillId="2" borderId="0" xfId="0" applyNumberFormat="1" applyFont="1" applyFill="1"/>
    <xf numFmtId="0" fontId="7" fillId="6" borderId="3" xfId="0" applyFont="1" applyFill="1" applyBorder="1"/>
    <xf numFmtId="0" fontId="7" fillId="6" borderId="3" xfId="0" applyFont="1" applyFill="1" applyBorder="1" applyAlignment="1">
      <alignment horizontal="center"/>
    </xf>
    <xf numFmtId="0" fontId="7" fillId="7" borderId="3" xfId="0" applyFont="1" applyFill="1" applyBorder="1"/>
    <xf numFmtId="0" fontId="7" fillId="7" borderId="3" xfId="0" applyFont="1" applyFill="1" applyBorder="1" applyAlignment="1">
      <alignment horizontal="center" vertical="center"/>
    </xf>
    <xf numFmtId="3" fontId="7" fillId="9" borderId="3" xfId="0" applyNumberFormat="1" applyFont="1" applyFill="1" applyBorder="1" applyAlignment="1">
      <alignment horizontal="center"/>
    </xf>
    <xf numFmtId="0" fontId="0" fillId="0" borderId="3" xfId="0" applyBorder="1"/>
    <xf numFmtId="0" fontId="24" fillId="2" borderId="3" xfId="0" applyFont="1" applyFill="1" applyBorder="1" applyAlignment="1">
      <alignment horizontal="center"/>
    </xf>
    <xf numFmtId="3" fontId="7" fillId="3" borderId="3" xfId="0" applyNumberFormat="1" applyFont="1" applyFill="1" applyBorder="1"/>
    <xf numFmtId="3" fontId="7" fillId="0" borderId="3" xfId="0" applyNumberFormat="1" applyFont="1" applyBorder="1" applyAlignment="1">
      <alignment horizontal="center"/>
    </xf>
    <xf numFmtId="164" fontId="4" fillId="3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170" fontId="4" fillId="3" borderId="0" xfId="0" applyNumberFormat="1" applyFont="1" applyFill="1" applyAlignment="1">
      <alignment horizontal="center"/>
    </xf>
    <xf numFmtId="0" fontId="16" fillId="3" borderId="0" xfId="0" applyFont="1" applyFill="1" applyAlignment="1">
      <alignment horizontal="center"/>
    </xf>
    <xf numFmtId="9" fontId="4" fillId="3" borderId="0" xfId="0" applyNumberFormat="1" applyFont="1" applyFill="1" applyAlignment="1">
      <alignment horizontal="center"/>
    </xf>
    <xf numFmtId="170" fontId="4" fillId="3" borderId="6" xfId="0" applyNumberFormat="1" applyFont="1" applyFill="1" applyBorder="1" applyAlignment="1">
      <alignment horizontal="center"/>
    </xf>
    <xf numFmtId="170" fontId="4" fillId="3" borderId="4" xfId="0" applyNumberFormat="1" applyFont="1" applyFill="1" applyBorder="1" applyAlignment="1">
      <alignment horizontal="center" vertical="center"/>
    </xf>
    <xf numFmtId="170" fontId="4" fillId="3" borderId="16" xfId="0" applyNumberFormat="1" applyFont="1" applyFill="1" applyBorder="1" applyAlignment="1">
      <alignment horizontal="center"/>
    </xf>
    <xf numFmtId="0" fontId="4" fillId="3" borderId="16" xfId="0" applyFont="1" applyFill="1" applyBorder="1" applyAlignment="1">
      <alignment horizontal="right"/>
    </xf>
    <xf numFmtId="164" fontId="7" fillId="2" borderId="6" xfId="0" applyNumberFormat="1" applyFont="1" applyFill="1" applyBorder="1" applyAlignment="1">
      <alignment horizontal="right"/>
    </xf>
    <xf numFmtId="170" fontId="7" fillId="2" borderId="6" xfId="0" applyNumberFormat="1" applyFont="1" applyFill="1" applyBorder="1" applyAlignment="1">
      <alignment horizontal="right"/>
    </xf>
    <xf numFmtId="170" fontId="7" fillId="2" borderId="6" xfId="0" applyNumberFormat="1" applyFont="1" applyFill="1" applyBorder="1" applyAlignment="1">
      <alignment horizontal="center"/>
    </xf>
    <xf numFmtId="169" fontId="4" fillId="3" borderId="6" xfId="0" applyNumberFormat="1" applyFont="1" applyFill="1" applyBorder="1" applyAlignment="1">
      <alignment horizontal="center"/>
    </xf>
    <xf numFmtId="169" fontId="7" fillId="2" borderId="6" xfId="0" applyNumberFormat="1" applyFont="1" applyFill="1" applyBorder="1" applyAlignment="1">
      <alignment horizontal="center"/>
    </xf>
    <xf numFmtId="164" fontId="3" fillId="3" borderId="6" xfId="0" applyNumberFormat="1" applyFont="1" applyFill="1" applyBorder="1" applyAlignment="1">
      <alignment horizontal="center"/>
    </xf>
    <xf numFmtId="164" fontId="4" fillId="2" borderId="7" xfId="0" applyNumberFormat="1" applyFont="1" applyFill="1" applyBorder="1" applyAlignment="1">
      <alignment horizontal="center" vertical="center"/>
    </xf>
    <xf numFmtId="164" fontId="7" fillId="2" borderId="17" xfId="0" applyNumberFormat="1" applyFont="1" applyFill="1" applyBorder="1" applyAlignment="1">
      <alignment horizontal="center" vertical="center"/>
    </xf>
    <xf numFmtId="170" fontId="5" fillId="2" borderId="20" xfId="0" applyNumberFormat="1" applyFont="1" applyFill="1" applyBorder="1" applyAlignment="1">
      <alignment vertical="center"/>
    </xf>
    <xf numFmtId="170" fontId="7" fillId="2" borderId="4" xfId="0" applyNumberFormat="1" applyFont="1" applyFill="1" applyBorder="1" applyAlignment="1">
      <alignment horizontal="center" vertical="center"/>
    </xf>
    <xf numFmtId="169" fontId="7" fillId="2" borderId="4" xfId="0" applyNumberFormat="1" applyFont="1" applyFill="1" applyBorder="1" applyAlignment="1">
      <alignment horizontal="center" vertical="center"/>
    </xf>
    <xf numFmtId="164" fontId="3" fillId="3" borderId="4" xfId="0" applyNumberFormat="1" applyFont="1" applyFill="1" applyBorder="1" applyAlignment="1">
      <alignment horizontal="center" vertical="center"/>
    </xf>
    <xf numFmtId="164" fontId="7" fillId="2" borderId="16" xfId="0" applyNumberFormat="1" applyFont="1" applyFill="1" applyBorder="1" applyAlignment="1">
      <alignment horizontal="right"/>
    </xf>
    <xf numFmtId="170" fontId="5" fillId="2" borderId="16" xfId="0" applyNumberFormat="1" applyFont="1" applyFill="1" applyBorder="1" applyAlignment="1">
      <alignment horizontal="right"/>
    </xf>
    <xf numFmtId="170" fontId="7" fillId="2" borderId="16" xfId="0" applyNumberFormat="1" applyFont="1" applyFill="1" applyBorder="1" applyAlignment="1">
      <alignment horizontal="center"/>
    </xf>
    <xf numFmtId="166" fontId="7" fillId="2" borderId="16" xfId="0" applyNumberFormat="1" applyFont="1" applyFill="1" applyBorder="1" applyAlignment="1">
      <alignment horizontal="center"/>
    </xf>
    <xf numFmtId="164" fontId="3" fillId="3" borderId="16" xfId="0" applyNumberFormat="1" applyFont="1" applyFill="1" applyBorder="1" applyAlignment="1">
      <alignment horizontal="center"/>
    </xf>
    <xf numFmtId="169" fontId="7" fillId="2" borderId="16" xfId="0" applyNumberFormat="1" applyFont="1" applyFill="1" applyBorder="1" applyAlignment="1">
      <alignment horizontal="center"/>
    </xf>
    <xf numFmtId="170" fontId="4" fillId="2" borderId="16" xfId="0" applyNumberFormat="1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right"/>
    </xf>
    <xf numFmtId="0" fontId="3" fillId="3" borderId="16" xfId="0" applyFont="1" applyFill="1" applyBorder="1" applyAlignment="1">
      <alignment horizontal="center" vertical="center"/>
    </xf>
    <xf numFmtId="0" fontId="4" fillId="2" borderId="24" xfId="0" applyFont="1" applyFill="1" applyBorder="1"/>
    <xf numFmtId="0" fontId="4" fillId="3" borderId="16" xfId="0" applyFont="1" applyFill="1" applyBorder="1"/>
    <xf numFmtId="170" fontId="3" fillId="3" borderId="16" xfId="0" applyNumberFormat="1" applyFont="1" applyFill="1" applyBorder="1" applyAlignment="1">
      <alignment horizontal="right"/>
    </xf>
    <xf numFmtId="0" fontId="4" fillId="3" borderId="22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0" fontId="4" fillId="5" borderId="16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3" fontId="0" fillId="0" borderId="6" xfId="0" applyNumberFormat="1" applyBorder="1"/>
    <xf numFmtId="173" fontId="0" fillId="0" borderId="6" xfId="2" applyNumberFormat="1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/>
    </xf>
    <xf numFmtId="0" fontId="3" fillId="7" borderId="25" xfId="0" applyFont="1" applyFill="1" applyBorder="1" applyAlignment="1">
      <alignment horizontal="center" wrapText="1" indent="1"/>
    </xf>
    <xf numFmtId="0" fontId="3" fillId="7" borderId="26" xfId="0" applyFont="1" applyFill="1" applyBorder="1" applyAlignment="1">
      <alignment horizontal="center" wrapText="1" indent="1"/>
    </xf>
    <xf numFmtId="0" fontId="3" fillId="7" borderId="27" xfId="0" applyFont="1" applyFill="1" applyBorder="1" applyAlignment="1">
      <alignment horizontal="center" wrapText="1" indent="1"/>
    </xf>
    <xf numFmtId="3" fontId="4" fillId="3" borderId="16" xfId="0" applyNumberFormat="1" applyFont="1" applyFill="1" applyBorder="1" applyAlignment="1">
      <alignment horizontal="center"/>
    </xf>
    <xf numFmtId="1" fontId="4" fillId="3" borderId="16" xfId="0" applyNumberFormat="1" applyFont="1" applyFill="1" applyBorder="1" applyAlignment="1">
      <alignment horizontal="center"/>
    </xf>
    <xf numFmtId="3" fontId="0" fillId="0" borderId="16" xfId="0" applyNumberFormat="1" applyBorder="1" applyAlignment="1">
      <alignment horizontal="center"/>
    </xf>
    <xf numFmtId="0" fontId="4" fillId="3" borderId="28" xfId="0" applyFont="1" applyFill="1" applyBorder="1"/>
    <xf numFmtId="0" fontId="4" fillId="3" borderId="24" xfId="0" applyFont="1" applyFill="1" applyBorder="1" applyAlignment="1">
      <alignment horizontal="center"/>
    </xf>
    <xf numFmtId="0" fontId="3" fillId="7" borderId="17" xfId="0" applyFont="1" applyFill="1" applyBorder="1" applyAlignment="1">
      <alignment horizontal="center" wrapText="1" indent="1"/>
    </xf>
    <xf numFmtId="0" fontId="4" fillId="3" borderId="7" xfId="0" applyFont="1" applyFill="1" applyBorder="1"/>
    <xf numFmtId="0" fontId="4" fillId="3" borderId="16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4" borderId="16" xfId="0" applyFont="1" applyFill="1" applyBorder="1"/>
    <xf numFmtId="9" fontId="4" fillId="2" borderId="7" xfId="0" applyNumberFormat="1" applyFont="1" applyFill="1" applyBorder="1"/>
    <xf numFmtId="0" fontId="4" fillId="3" borderId="7" xfId="0" applyFont="1" applyFill="1" applyBorder="1" applyAlignment="1">
      <alignment horizontal="center"/>
    </xf>
    <xf numFmtId="0" fontId="4" fillId="2" borderId="7" xfId="0" applyFont="1" applyFill="1" applyBorder="1"/>
    <xf numFmtId="41" fontId="7" fillId="3" borderId="0" xfId="0" applyNumberFormat="1" applyFont="1" applyFill="1" applyAlignment="1">
      <alignment horizontal="center"/>
    </xf>
    <xf numFmtId="3" fontId="7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1" fontId="15" fillId="3" borderId="0" xfId="0" applyNumberFormat="1" applyFont="1" applyFill="1" applyAlignment="1">
      <alignment horizontal="center"/>
    </xf>
    <xf numFmtId="9" fontId="20" fillId="0" borderId="0" xfId="0" applyNumberFormat="1" applyFont="1" applyAlignment="1">
      <alignment horizontal="center"/>
    </xf>
    <xf numFmtId="171" fontId="15" fillId="3" borderId="0" xfId="0" applyNumberFormat="1" applyFont="1" applyFill="1" applyAlignment="1">
      <alignment horizontal="center"/>
    </xf>
    <xf numFmtId="6" fontId="7" fillId="3" borderId="0" xfId="0" applyNumberFormat="1" applyFont="1" applyFill="1" applyAlignment="1">
      <alignment horizontal="center"/>
    </xf>
    <xf numFmtId="0" fontId="7" fillId="7" borderId="0" xfId="0" applyFont="1" applyFill="1"/>
    <xf numFmtId="0" fontId="7" fillId="6" borderId="0" xfId="0" applyFont="1" applyFill="1"/>
    <xf numFmtId="0" fontId="7" fillId="0" borderId="0" xfId="0" applyFont="1" applyAlignment="1">
      <alignment horizontal="center"/>
    </xf>
    <xf numFmtId="0" fontId="3" fillId="0" borderId="6" xfId="0" applyFont="1" applyBorder="1" applyAlignment="1">
      <alignment horizontal="center" vertical="center"/>
    </xf>
    <xf numFmtId="16" fontId="3" fillId="6" borderId="6" xfId="0" applyNumberFormat="1" applyFont="1" applyFill="1" applyBorder="1" applyAlignment="1">
      <alignment horizontal="center" vertical="center"/>
    </xf>
    <xf numFmtId="41" fontId="13" fillId="3" borderId="3" xfId="0" applyNumberFormat="1" applyFont="1" applyFill="1" applyBorder="1" applyAlignment="1">
      <alignment horizontal="center"/>
    </xf>
    <xf numFmtId="177" fontId="7" fillId="0" borderId="3" xfId="0" applyNumberFormat="1" applyFont="1" applyBorder="1" applyAlignment="1">
      <alignment horizontal="center"/>
    </xf>
    <xf numFmtId="177" fontId="15" fillId="0" borderId="3" xfId="0" applyNumberFormat="1" applyFont="1" applyBorder="1" applyAlignment="1">
      <alignment horizontal="center"/>
    </xf>
    <xf numFmtId="0" fontId="25" fillId="0" borderId="0" xfId="4"/>
    <xf numFmtId="175" fontId="7" fillId="2" borderId="16" xfId="0" applyNumberFormat="1" applyFont="1" applyFill="1" applyBorder="1"/>
    <xf numFmtId="0" fontId="4" fillId="10" borderId="16" xfId="0" applyFont="1" applyFill="1" applyBorder="1"/>
    <xf numFmtId="0" fontId="26" fillId="7" borderId="0" xfId="0" applyFont="1" applyFill="1" applyAlignment="1">
      <alignment horizontal="center" vertical="center" wrapText="1"/>
    </xf>
    <xf numFmtId="0" fontId="27" fillId="3" borderId="0" xfId="0" applyFont="1" applyFill="1"/>
    <xf numFmtId="175" fontId="28" fillId="0" borderId="0" xfId="0" applyNumberFormat="1" applyFont="1" applyAlignment="1">
      <alignment horizontal="right"/>
    </xf>
    <xf numFmtId="0" fontId="27" fillId="5" borderId="0" xfId="0" applyFont="1" applyFill="1" applyAlignment="1">
      <alignment horizontal="center"/>
    </xf>
    <xf numFmtId="175" fontId="27" fillId="0" borderId="0" xfId="0" applyNumberFormat="1" applyFont="1" applyAlignment="1">
      <alignment horizontal="center"/>
    </xf>
    <xf numFmtId="175" fontId="27" fillId="3" borderId="0" xfId="0" applyNumberFormat="1" applyFont="1" applyFill="1" applyAlignment="1">
      <alignment horizontal="center" vertical="center"/>
    </xf>
    <xf numFmtId="0" fontId="27" fillId="4" borderId="0" xfId="0" applyFont="1" applyFill="1" applyAlignment="1">
      <alignment horizontal="right"/>
    </xf>
    <xf numFmtId="0" fontId="26" fillId="3" borderId="0" xfId="0" applyFont="1" applyFill="1" applyAlignment="1">
      <alignment horizontal="center" vertical="center"/>
    </xf>
    <xf numFmtId="0" fontId="27" fillId="4" borderId="0" xfId="0" applyFont="1" applyFill="1"/>
    <xf numFmtId="9" fontId="27" fillId="2" borderId="0" xfId="0" applyNumberFormat="1" applyFont="1" applyFill="1" applyAlignment="1">
      <alignment horizontal="center" vertical="center"/>
    </xf>
    <xf numFmtId="0" fontId="27" fillId="2" borderId="16" xfId="0" applyFont="1" applyFill="1" applyBorder="1"/>
    <xf numFmtId="0" fontId="27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/>
    </xf>
    <xf numFmtId="0" fontId="27" fillId="2" borderId="0" xfId="0" applyFont="1" applyFill="1"/>
    <xf numFmtId="0" fontId="29" fillId="7" borderId="0" xfId="0" applyFont="1" applyFill="1" applyAlignment="1">
      <alignment horizontal="center" vertical="center" wrapText="1"/>
    </xf>
    <xf numFmtId="0" fontId="25" fillId="10" borderId="16" xfId="4" applyFill="1" applyBorder="1"/>
    <xf numFmtId="0" fontId="25" fillId="2" borderId="16" xfId="4" applyFill="1" applyBorder="1"/>
    <xf numFmtId="0" fontId="25" fillId="2" borderId="0" xfId="4" applyFill="1" applyAlignment="1">
      <alignment vertical="center"/>
    </xf>
    <xf numFmtId="0" fontId="4" fillId="2" borderId="6" xfId="0" applyFont="1" applyFill="1" applyBorder="1" applyAlignment="1">
      <alignment horizontal="right" wrapText="1"/>
    </xf>
    <xf numFmtId="0" fontId="4" fillId="2" borderId="16" xfId="0" applyFont="1" applyFill="1" applyBorder="1" applyAlignment="1">
      <alignment horizontal="right"/>
    </xf>
    <xf numFmtId="0" fontId="7" fillId="3" borderId="6" xfId="0" applyFont="1" applyFill="1" applyBorder="1"/>
    <xf numFmtId="6" fontId="7" fillId="2" borderId="16" xfId="0" applyNumberFormat="1" applyFont="1" applyFill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1" fontId="4" fillId="3" borderId="16" xfId="0" applyNumberFormat="1" applyFont="1" applyFill="1" applyBorder="1" applyAlignment="1">
      <alignment horizontal="right" vertical="center"/>
    </xf>
    <xf numFmtId="3" fontId="0" fillId="0" borderId="6" xfId="0" applyNumberFormat="1" applyBorder="1" applyAlignment="1">
      <alignment horizontal="right"/>
    </xf>
    <xf numFmtId="9" fontId="5" fillId="2" borderId="0" xfId="0" applyNumberFormat="1" applyFont="1" applyFill="1"/>
    <xf numFmtId="0" fontId="30" fillId="3" borderId="3" xfId="0" applyFont="1" applyFill="1" applyBorder="1" applyAlignment="1">
      <alignment horizontal="center"/>
    </xf>
    <xf numFmtId="1" fontId="30" fillId="3" borderId="3" xfId="0" applyNumberFormat="1" applyFont="1" applyFill="1" applyBorder="1" applyAlignment="1">
      <alignment horizontal="center"/>
    </xf>
    <xf numFmtId="170" fontId="4" fillId="2" borderId="16" xfId="0" applyNumberFormat="1" applyFont="1" applyFill="1" applyBorder="1"/>
    <xf numFmtId="9" fontId="4" fillId="2" borderId="16" xfId="0" applyNumberFormat="1" applyFont="1" applyFill="1" applyBorder="1"/>
    <xf numFmtId="0" fontId="4" fillId="3" borderId="0" xfId="0" applyFont="1" applyFill="1" applyAlignment="1">
      <alignment horizontal="center"/>
    </xf>
    <xf numFmtId="170" fontId="4" fillId="3" borderId="0" xfId="0" applyNumberFormat="1" applyFont="1" applyFill="1"/>
    <xf numFmtId="10" fontId="4" fillId="3" borderId="3" xfId="0" applyNumberFormat="1" applyFont="1" applyFill="1" applyBorder="1" applyAlignment="1">
      <alignment horizontal="center" vertical="center"/>
    </xf>
    <xf numFmtId="175" fontId="4" fillId="3" borderId="3" xfId="0" applyNumberFormat="1" applyFont="1" applyFill="1" applyBorder="1" applyAlignment="1">
      <alignment horizontal="center" vertical="center"/>
    </xf>
    <xf numFmtId="175" fontId="27" fillId="0" borderId="0" xfId="0" applyNumberFormat="1" applyFont="1" applyAlignment="1">
      <alignment horizontal="right"/>
    </xf>
    <xf numFmtId="171" fontId="13" fillId="0" borderId="3" xfId="0" applyNumberFormat="1" applyFont="1" applyBorder="1" applyAlignment="1">
      <alignment horizontal="center"/>
    </xf>
    <xf numFmtId="171" fontId="13" fillId="3" borderId="3" xfId="0" applyNumberFormat="1" applyFont="1" applyFill="1" applyBorder="1" applyAlignment="1">
      <alignment horizontal="center"/>
    </xf>
    <xf numFmtId="1" fontId="7" fillId="3" borderId="3" xfId="0" applyNumberFormat="1" applyFont="1" applyFill="1" applyBorder="1" applyAlignment="1">
      <alignment horizontal="right"/>
    </xf>
    <xf numFmtId="0" fontId="5" fillId="0" borderId="3" xfId="0" applyFont="1" applyBorder="1" applyAlignment="1">
      <alignment horizontal="right"/>
    </xf>
    <xf numFmtId="1" fontId="15" fillId="3" borderId="3" xfId="0" applyNumberFormat="1" applyFont="1" applyFill="1" applyBorder="1" applyAlignment="1">
      <alignment horizontal="right"/>
    </xf>
    <xf numFmtId="9" fontId="5" fillId="0" borderId="3" xfId="0" applyNumberFormat="1" applyFont="1" applyBorder="1" applyAlignment="1">
      <alignment horizontal="right"/>
    </xf>
    <xf numFmtId="171" fontId="7" fillId="3" borderId="3" xfId="0" applyNumberFormat="1" applyFont="1" applyFill="1" applyBorder="1" applyAlignment="1">
      <alignment horizontal="right"/>
    </xf>
    <xf numFmtId="172" fontId="5" fillId="0" borderId="3" xfId="0" applyNumberFormat="1" applyFont="1" applyBorder="1" applyAlignment="1">
      <alignment horizontal="right"/>
    </xf>
    <xf numFmtId="177" fontId="7" fillId="3" borderId="3" xfId="0" applyNumberFormat="1" applyFont="1" applyFill="1" applyBorder="1" applyAlignment="1">
      <alignment horizontal="right"/>
    </xf>
    <xf numFmtId="171" fontId="15" fillId="3" borderId="3" xfId="0" applyNumberFormat="1" applyFont="1" applyFill="1" applyBorder="1" applyAlignment="1">
      <alignment horizontal="right"/>
    </xf>
    <xf numFmtId="9" fontId="7" fillId="0" borderId="3" xfId="0" applyNumberFormat="1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6" xfId="0" applyFont="1" applyBorder="1"/>
    <xf numFmtId="9" fontId="7" fillId="2" borderId="16" xfId="0" applyNumberFormat="1" applyFont="1" applyFill="1" applyBorder="1" applyAlignment="1">
      <alignment horizontal="center"/>
    </xf>
    <xf numFmtId="6" fontId="7" fillId="2" borderId="16" xfId="0" applyNumberFormat="1" applyFont="1" applyFill="1" applyBorder="1"/>
    <xf numFmtId="171" fontId="13" fillId="3" borderId="15" xfId="0" applyNumberFormat="1" applyFont="1" applyFill="1" applyBorder="1" applyAlignment="1">
      <alignment horizontal="center"/>
    </xf>
    <xf numFmtId="171" fontId="7" fillId="3" borderId="5" xfId="0" applyNumberFormat="1" applyFont="1" applyFill="1" applyBorder="1" applyAlignment="1">
      <alignment horizontal="center"/>
    </xf>
    <xf numFmtId="171" fontId="7" fillId="3" borderId="6" xfId="0" applyNumberFormat="1" applyFont="1" applyFill="1" applyBorder="1" applyAlignment="1">
      <alignment horizontal="center"/>
    </xf>
    <xf numFmtId="0" fontId="3" fillId="8" borderId="8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11" xfId="0" applyFont="1" applyFill="1" applyBorder="1" applyAlignment="1">
      <alignment horizontal="center"/>
    </xf>
    <xf numFmtId="0" fontId="3" fillId="8" borderId="12" xfId="0" applyFont="1" applyFill="1" applyBorder="1" applyAlignment="1">
      <alignment horizontal="center"/>
    </xf>
    <xf numFmtId="0" fontId="3" fillId="8" borderId="1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25" fillId="2" borderId="0" xfId="4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7" borderId="3" xfId="0" applyFont="1" applyFill="1" applyBorder="1" applyAlignment="1">
      <alignment horizontal="center" vertical="center" wrapText="1"/>
    </xf>
    <xf numFmtId="0" fontId="13" fillId="7" borderId="6" xfId="0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13" fillId="7" borderId="6" xfId="0" applyFont="1" applyFill="1" applyBorder="1" applyAlignment="1">
      <alignment horizontal="center" vertical="center" wrapText="1"/>
    </xf>
    <xf numFmtId="0" fontId="13" fillId="7" borderId="6" xfId="0" applyFont="1" applyFill="1" applyBorder="1" applyAlignment="1">
      <alignment horizontal="center" wrapText="1"/>
    </xf>
    <xf numFmtId="0" fontId="13" fillId="7" borderId="19" xfId="0" applyFont="1" applyFill="1" applyBorder="1" applyAlignment="1">
      <alignment horizontal="center" vertical="center" wrapText="1"/>
    </xf>
    <xf numFmtId="0" fontId="13" fillId="7" borderId="20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</cellXfs>
  <cellStyles count="5">
    <cellStyle name="Comma" xfId="2" builtinId="3"/>
    <cellStyle name="Currency" xfId="3" builtinId="4"/>
    <cellStyle name="Hyperlink" xfId="4" builtinId="8"/>
    <cellStyle name="Normal" xfId="0" builtinId="0"/>
    <cellStyle name="Per cent" xfId="1" builtinId="5"/>
  </cellStyles>
  <dxfs count="8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ob_rainey_venturedsolutions_com/Documents/Global%20Tech%20OKR%20Tracker%20Q2.xlsx" TargetMode="External"/><Relationship Id="rId2" Type="http://schemas.openxmlformats.org/officeDocument/2006/relationships/externalLinkPath" Target="https://venturedsolutions-my.sharepoint.com/personal/rob_rainey_venturedsolutions_com/Documents/Global%20Tech%20OKR%20Tracker%20Q2.xlsx" TargetMode="External"/><Relationship Id="rId1" Type="http://schemas.openxmlformats.org/officeDocument/2006/relationships/externalLinkPath" Target="/personal/rob_rainey_venturedsolutions_com/Documents/Global%20Tech%20OKR%20Tracker%20Q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tnKwprphIUmGyQmofnwL0gPxylWzS0FBuqiX76jpoecAyHWUItrwSb6vxUYpOK_U" itemId="01VNBFHNQFWOZJKPTDOBAY2WG27QXS5IE3">
      <xxl21:absoluteUrl r:id="rId2"/>
      <xxl21:relativeUrl r:id="rId3"/>
    </xxl21:alternateUrls>
    <sheetNames>
      <sheetName val="Marketable Metrics"/>
      <sheetName val="Adoption &amp; Enablement Metrics"/>
      <sheetName val="Apdex &amp; OSS"/>
      <sheetName val="Cycle Time &amp; Quality"/>
      <sheetName val="Savings Opportunities"/>
      <sheetName val="People Enablement"/>
      <sheetName val="Lookups"/>
      <sheetName val="App Metri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1">
          <cell r="K11">
            <v>342867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Bryan Black" id="{3E2559CE-5650-451D-BF53-86BC691CD471}" userId="S::bryan.black@venturedsolutions.com::2476fcdb-1655-4a96-a4c5-a10ca9580575" providerId="AD"/>
  <person displayName="Cassie Higgleton" id="{C938835A-9194-4E44-BA72-9778FB3CE6DE}" userId="S::cassie.higgleton@venturedsolutions.co.uk::645447d6-35f0-4aef-ba2c-06fc00335d47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95717F-709C-43CB-B40D-BDBC6CC98067}" name="Table1" displayName="Table1" ref="C2:H10" totalsRowShown="0" headerRowDxfId="7" dataDxfId="6">
  <autoFilter ref="C2:H10" xr:uid="{3495717F-709C-43CB-B40D-BDBC6CC98067}"/>
  <tableColumns count="6">
    <tableColumn id="1" xr3:uid="{91243D23-8004-4B5B-928E-D7A78C9870A3}" name="Column1" dataDxfId="5"/>
    <tableColumn id="2" xr3:uid="{22A1584C-8D9A-4D9D-8DF0-3265B766E852}" name="Column2" dataDxfId="4"/>
    <tableColumn id="3" xr3:uid="{90213867-85B6-43E2-8F43-804DA8B61C9D}" name="Column3" dataDxfId="3"/>
    <tableColumn id="4" xr3:uid="{5D04F93F-D09B-47B0-850D-975D008125AC}" name="Column4" dataDxfId="2"/>
    <tableColumn id="5" xr3:uid="{29D6B6CF-C040-4615-BCD1-38B62E138FE9}" name="Column5" dataDxfId="1"/>
    <tableColumn id="6" xr3:uid="{74C714A6-1703-4190-BD16-2B42AAD2E4A3}" name="Column6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5" dT="2025-11-03T07:56:22.27" personId="{C938835A-9194-4E44-BA72-9778FB3CE6DE}" id="{02F0AE40-4D38-492A-87BD-C604024AE15F}">
    <text xml:space="preserve"> sales team meeting and half term </text>
  </threadedComment>
  <threadedComment ref="B16" dT="2026-01-19T07:44:34.35" personId="{C938835A-9194-4E44-BA72-9778FB3CE6DE}" id="{B0606D77-AB56-48AD-8D0B-3F7FEB69B637}">
    <text>Emails Today | Salesforce</text>
    <extLst>
      <x:ext xmlns:xltc2="http://schemas.microsoft.com/office/spreadsheetml/2020/threadedcomments2" uri="{F7C98A9C-CBB3-438F-8F68-D28B6AF4A901}">
        <xltc2:checksum>1934675513</xltc2:checksum>
        <xltc2:hyperlink startIndex="0" length="25" url="https://eduspot.lightning.force.com/lightning/r/Report/00OPy000000gtrJMAQ/view"/>
      </x:ext>
    </extLst>
  </threadedComment>
  <threadedComment ref="B17" dT="2026-01-19T07:44:07.00" personId="{C938835A-9194-4E44-BA72-9778FB3CE6DE}" id="{B6B57423-B0C9-4384-84A7-0B41FF1F8A6B}">
    <text>Weekly Opportunity Created - New | Salesforce</text>
    <extLst>
      <x:ext xmlns:xltc2="http://schemas.microsoft.com/office/spreadsheetml/2020/threadedcomments2" uri="{F7C98A9C-CBB3-438F-8F68-D28B6AF4A901}">
        <xltc2:checksum>3877811295</xltc2:checksum>
        <xltc2:hyperlink startIndex="0" length="45" url="https://eduspot.lightning.force.com/lightning/r/Report/00OPy000003FIyzMAG/view"/>
      </x:ext>
    </extLst>
  </threadedComment>
  <threadedComment ref="B19" dT="2026-01-19T07:42:29.53" personId="{C938835A-9194-4E44-BA72-9778FB3CE6DE}" id="{9495D086-F083-440D-88F3-3756E6E802E2}">
    <text>Opp Created | Salesforce</text>
    <extLst>
      <x:ext xmlns:xltc2="http://schemas.microsoft.com/office/spreadsheetml/2020/threadedcomments2" uri="{F7C98A9C-CBB3-438F-8F68-D28B6AF4A901}">
        <xltc2:checksum>1531082419</xltc2:checksum>
        <xltc2:hyperlink startIndex="0" length="24" url="https://eduspot.lightning.force.com/lightning/r/Report/00OPy000005L8J3MAK/view"/>
      </x:ext>
    </extLst>
  </threadedComment>
  <threadedComment ref="B20" dT="2026-01-19T07:43:36.75" personId="{C938835A-9194-4E44-BA72-9778FB3CE6DE}" id="{C222118A-D02E-4F19-8F4A-2A2D3EE8A382}">
    <text>Power Up Pipeline Generated | Salesforce</text>
    <extLst>
      <x:ext xmlns:xltc2="http://schemas.microsoft.com/office/spreadsheetml/2020/threadedcomments2" uri="{F7C98A9C-CBB3-438F-8F68-D28B6AF4A901}">
        <xltc2:checksum>208045465</xltc2:checksum>
        <xltc2:hyperlink startIndex="0" length="40" url="https://eduspot.lightning.force.com/lightning/r/Report/00OPy000002S4PJMA0/view"/>
      </x:ext>
    </extLst>
  </threadedComment>
  <threadedComment ref="B22" dT="2026-01-19T07:47:51.46" personId="{C938835A-9194-4E44-BA72-9778FB3CE6DE}" id="{F1D4E1CF-6358-45EB-A85B-CD0B640A39C4}">
    <text>PE Packages Report | Salesforce</text>
    <extLst>
      <x:ext xmlns:xltc2="http://schemas.microsoft.com/office/spreadsheetml/2020/threadedcomments2" uri="{F7C98A9C-CBB3-438F-8F68-D28B6AF4A901}">
        <xltc2:checksum>4073110684</xltc2:checksum>
        <xltc2:hyperlink startIndex="0" length="31" url="https://eduspot.lightning.force.com/lightning/r/Report/00OPy000008wdCUMAY/view?queryScope=userFolders"/>
      </x:ext>
    </extLst>
  </threadedComment>
  <threadedComment ref="B25" dT="2026-01-19T07:50:44.45" personId="{C938835A-9194-4E44-BA72-9778FB3CE6DE}" id="{E6CC31C0-9198-46F3-8FF8-BFFB2826314F}">
    <text>Opportunity Pipeline Best Case | Salesforce</text>
    <extLst>
      <x:ext xmlns:xltc2="http://schemas.microsoft.com/office/spreadsheetml/2020/threadedcomments2" uri="{F7C98A9C-CBB3-438F-8F68-D28B6AF4A901}">
        <xltc2:checksum>2938144654</xltc2:checksum>
        <xltc2:hyperlink startIndex="0" length="43" url="https://eduspot.lightning.force.com/lightning/r/Report/00OPy0000046DOTMA2/view"/>
      </x:ext>
    </extLst>
  </threadedComment>
  <threadedComment ref="B27" dT="2026-01-19T07:53:34.87" personId="{C938835A-9194-4E44-BA72-9778FB3CE6DE}" id="{0BA8EEFE-6668-441C-867C-63B9FF2F0876}">
    <text>UK Won Average% | Salesforce</text>
    <extLst>
      <x:ext xmlns:xltc2="http://schemas.microsoft.com/office/spreadsheetml/2020/threadedcomments2" uri="{F7C98A9C-CBB3-438F-8F68-D28B6AF4A901}">
        <xltc2:checksum>2935974550</xltc2:checksum>
        <xltc2:hyperlink startIndex="0" length="28" url="https://eduspot.lightning.force.com/lightning/r/Report/00OPy0000046J45MAE/view"/>
      </x:ext>
    </extLst>
  </threadedComment>
  <threadedComment ref="B29" dT="2026-01-19T07:54:58.98" personId="{C938835A-9194-4E44-BA72-9778FB3CE6DE}" id="{AC5696C5-3D2B-4DA6-8E72-CB179A6528FE}">
    <text>Ventured Solutions - New Bookings Forecast 2025 v2.xlsx</text>
    <extLst>
      <x:ext xmlns:xltc2="http://schemas.microsoft.com/office/spreadsheetml/2020/threadedcomments2" uri="{F7C98A9C-CBB3-438F-8F68-D28B6AF4A901}">
        <xltc2:checksum>2250333450</xltc2:checksum>
        <xltc2:hyperlink startIndex="0" length="55" url="https://venturedsolutions-my.sharepoint.com/:x:/g/personal/shishir_sharma_venturedsolutions_co_uk/IQBC824CEZyGSYNuVrUonluzARfvVLTa_ZHqxjjdKnEocmU?e=QnMynG&amp;wdOrigin=TEAMS-MAGLEV.null_ns.rwc&amp;wdExp=TEAMS-TREATMENT&amp;wdhostclicktime=1768475555742&amp;web=1"/>
      </x:ext>
    </extLst>
  </threadedComment>
  <threadedComment ref="P33" dT="2025-11-12T08:39:49.47" personId="{C938835A-9194-4E44-BA72-9778FB3CE6DE}" id="{B35085C0-A1BD-43A0-9AAD-F5E4FB1D20D7}">
    <text xml:space="preserve">An £8k opp from last month was credited back </text>
  </threadedComment>
  <threadedComment ref="B35" dT="2026-01-19T08:34:00.72" personId="{C938835A-9194-4E44-BA72-9778FB3CE6DE}" id="{ADB8465B-B603-46A5-BEBB-9396297A102D}">
    <text>UK Bookings | Salesforce</text>
    <extLst>
      <x:ext xmlns:xltc2="http://schemas.microsoft.com/office/spreadsheetml/2020/threadedcomments2" uri="{F7C98A9C-CBB3-438F-8F68-D28B6AF4A901}">
        <xltc2:checksum>892818051</xltc2:checksum>
        <xltc2:hyperlink startIndex="0" length="24" url="https://eduspot.lightning.force.com/lightning/r/Report/00OPy0000046JfBMAU/view"/>
      </x:ext>
    </extLs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B37" dT="2025-12-22T18:20:25.34" personId="{3E2559CE-5650-451D-BF53-86BC691CD471}" id="{F5EC6C0A-D141-4F53-B245-094D246A663E}">
    <text>Year end message final cohort</text>
  </threadedComment>
  <threadedComment ref="AB43" dT="2025-12-22T18:20:25.34" personId="{3E2559CE-5650-451D-BF53-86BC691CD471}" id="{89AD24AB-9875-4C9B-A746-908E30241007}">
    <text>Year end message final cohort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057ED15-8FD7-4603-9224-EEE321C2F366}">
  <we:reference id="WA104382023" version="3.0.2.0" store="en-us" storeType="omex"/>
  <we:alternateReferences>
    <we:reference id="WA104382023" version="3.0.2.0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0858819E-0033-43BF-8937-05EC82904868}">
      <we:backgroundApp state="0" runtimeId="Xappex.Taskpane.Url"/>
    </a:ext>
  </we:extLst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duspot.lightning.force.com/lightning/r/Dashboard/01ZPy000002A1krMAC/view?queryScope=userFolders" TargetMode="External"/><Relationship Id="rId13" Type="http://schemas.openxmlformats.org/officeDocument/2006/relationships/hyperlink" Target="../../../../../:x:/g/personal/elliot_mckenna_venturedsolutions_co_uk/IQBYenKGPi-oRIi76ufklUrTARjXyQyWcApKVbGvfQaH6qQ?e=uChhzk" TargetMode="External"/><Relationship Id="rId18" Type="http://schemas.openxmlformats.org/officeDocument/2006/relationships/vmlDrawing" Target="../drawings/vmlDrawing1.vml"/><Relationship Id="rId3" Type="http://schemas.openxmlformats.org/officeDocument/2006/relationships/hyperlink" Target="https://eduspot.lightning.force.com/lightning/r/Dashboard/01ZPy000002A1krMAC/view?queryScope=userFolders" TargetMode="External"/><Relationship Id="rId7" Type="http://schemas.openxmlformats.org/officeDocument/2006/relationships/hyperlink" Target="https://eduspot.lightning.force.com/lightning/r/Dashboard/01ZPy000002eGCzMAM/view?queryScope=userFolders" TargetMode="External"/><Relationship Id="rId12" Type="http://schemas.openxmlformats.org/officeDocument/2006/relationships/hyperlink" Target="https://eduspot.lightning.force.com/lightning/r/Report/00OPy000004CHlyMAG/view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eduspot.lightning.force.com/lightning/r/Dashboard/01ZPy000002A1krMAC/view?queryScope=userFolders" TargetMode="External"/><Relationship Id="rId16" Type="http://schemas.openxmlformats.org/officeDocument/2006/relationships/hyperlink" Target="https://eduspot.lightning.force.com/lightning/r/Report/00OPy000004gCIbMAM/view" TargetMode="External"/><Relationship Id="rId20" Type="http://schemas.microsoft.com/office/2017/10/relationships/threadedComment" Target="../threadedComments/threadedComment1.xml"/><Relationship Id="rId1" Type="http://schemas.openxmlformats.org/officeDocument/2006/relationships/hyperlink" Target="https://eduspot.lightning.force.com/lightning/r/Dashboard/01ZPy000000XD89MAG/view" TargetMode="External"/><Relationship Id="rId6" Type="http://schemas.openxmlformats.org/officeDocument/2006/relationships/hyperlink" Target="https://eduspot.lightning.force.com/lightning/r/Dashboard/01ZPy000002eGCzMAM/view?queryScope=userFolders" TargetMode="External"/><Relationship Id="rId11" Type="http://schemas.openxmlformats.org/officeDocument/2006/relationships/hyperlink" Target="https://eduspot.lightning.force.com/lightning/r/Report/00OPy0000013oVyMAI/view" TargetMode="External"/><Relationship Id="rId5" Type="http://schemas.openxmlformats.org/officeDocument/2006/relationships/hyperlink" Target="https://eduspot.lightning.force.com/lightning/r/Dashboard/01ZPy000002eGCzMAM/view?queryScope=userFolders" TargetMode="External"/><Relationship Id="rId15" Type="http://schemas.openxmlformats.org/officeDocument/2006/relationships/hyperlink" Target="https://eduspot.lightning.force.com/lightning/r/Report/00OPy0000090y2DMAQ/view" TargetMode="External"/><Relationship Id="rId10" Type="http://schemas.openxmlformats.org/officeDocument/2006/relationships/hyperlink" Target="https://eduspot.lightning.force.com/lightning/r/Report/00OPy0000013oVyMAI/view" TargetMode="External"/><Relationship Id="rId19" Type="http://schemas.openxmlformats.org/officeDocument/2006/relationships/comments" Target="../comments1.xml"/><Relationship Id="rId4" Type="http://schemas.openxmlformats.org/officeDocument/2006/relationships/hyperlink" Target="https://eduspot.lightning.force.com/lightning/r/Dashboard/01ZPy000002A1krMAC/view?queryScope=userFolders" TargetMode="External"/><Relationship Id="rId9" Type="http://schemas.openxmlformats.org/officeDocument/2006/relationships/hyperlink" Target="https://eduspot.lightning.force.com/lightning/n/Customer_Health" TargetMode="External"/><Relationship Id="rId14" Type="http://schemas.openxmlformats.org/officeDocument/2006/relationships/hyperlink" Target="https://eduspot.lightning.force.com/lightning/r/Report/00OPy00000194iAMAQ/view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DDE5A-6364-460B-A94D-09CC8919758F}">
  <sheetPr>
    <tabColor theme="3" tint="0.499984740745262"/>
  </sheetPr>
  <dimension ref="A1:AH76"/>
  <sheetViews>
    <sheetView tabSelected="1" workbookViewId="0">
      <pane xSplit="2" ySplit="4" topLeftCell="U29" activePane="bottomRight" state="frozen"/>
      <selection pane="bottomRight" activeCell="R46" sqref="R46"/>
      <selection pane="bottomLeft" activeCell="A5" sqref="A5"/>
      <selection pane="topRight" activeCell="C1" sqref="C1"/>
    </sheetView>
  </sheetViews>
  <sheetFormatPr defaultColWidth="8.42578125" defaultRowHeight="12.95"/>
  <cols>
    <col min="1" max="1" width="13.28515625" style="3" customWidth="1"/>
    <col min="2" max="2" width="34.28515625" style="3" customWidth="1"/>
    <col min="3" max="8" width="13.42578125" style="3" bestFit="1" customWidth="1"/>
    <col min="9" max="9" width="14.28515625" style="3" bestFit="1" customWidth="1"/>
    <col min="10" max="10" width="12.42578125" style="3" bestFit="1" customWidth="1"/>
    <col min="11" max="11" width="11.42578125" style="3" bestFit="1" customWidth="1"/>
    <col min="12" max="12" width="14" style="3" bestFit="1" customWidth="1"/>
    <col min="13" max="13" width="14.28515625" style="3" bestFit="1" customWidth="1"/>
    <col min="14" max="14" width="12.42578125" style="3" customWidth="1"/>
    <col min="15" max="15" width="1.28515625" style="55" customWidth="1"/>
    <col min="16" max="16" width="14.42578125" style="3" bestFit="1" customWidth="1"/>
    <col min="17" max="17" width="14.28515625" style="3" bestFit="1" customWidth="1"/>
    <col min="18" max="18" width="14.42578125" style="3" bestFit="1" customWidth="1"/>
    <col min="19" max="19" width="13.42578125" style="3" bestFit="1" customWidth="1"/>
    <col min="20" max="20" width="25.7109375" style="3" customWidth="1"/>
    <col min="21" max="21" width="15.42578125" style="3" bestFit="1" customWidth="1"/>
    <col min="22" max="22" width="1.42578125" style="55" customWidth="1"/>
    <col min="23" max="23" width="22.42578125" style="3" bestFit="1" customWidth="1"/>
    <col min="24" max="24" width="1.42578125" style="55" customWidth="1"/>
    <col min="25" max="25" width="10.42578125" style="3" bestFit="1" customWidth="1"/>
    <col min="26" max="26" width="17.42578125" style="3" customWidth="1"/>
    <col min="27" max="27" width="32.42578125" style="3" customWidth="1"/>
    <col min="28" max="28" width="14" style="3" bestFit="1" customWidth="1"/>
    <col min="29" max="16384" width="8.42578125" style="3"/>
  </cols>
  <sheetData>
    <row r="1" spans="1:32">
      <c r="A1" s="382" t="s">
        <v>0</v>
      </c>
      <c r="B1" s="383"/>
      <c r="C1" s="383"/>
      <c r="D1" s="383"/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4"/>
      <c r="AA1" s="1"/>
      <c r="AB1" s="1"/>
      <c r="AC1" s="2"/>
      <c r="AD1" s="1"/>
      <c r="AE1" s="1"/>
      <c r="AF1" s="1"/>
    </row>
    <row r="2" spans="1:32" ht="14.1" thickBot="1">
      <c r="A2" s="385" t="s">
        <v>1</v>
      </c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386"/>
      <c r="W2" s="386"/>
      <c r="X2" s="386"/>
      <c r="Y2" s="386"/>
      <c r="Z2" s="387"/>
      <c r="AA2" s="1"/>
      <c r="AB2" s="1"/>
      <c r="AC2" s="2"/>
      <c r="AD2" s="1"/>
      <c r="AE2" s="1"/>
      <c r="AF2" s="1"/>
    </row>
    <row r="3" spans="1:32" ht="14.1">
      <c r="A3" s="5"/>
      <c r="B3" s="1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47"/>
      <c r="P3" s="388" t="s">
        <v>2</v>
      </c>
      <c r="Q3" s="388"/>
      <c r="R3" s="388"/>
      <c r="S3" s="388"/>
      <c r="T3" s="388"/>
      <c r="U3" s="388"/>
      <c r="V3" s="47"/>
      <c r="X3" s="73"/>
      <c r="Y3" s="81" t="s">
        <v>3</v>
      </c>
      <c r="Z3" s="140" t="s">
        <v>4</v>
      </c>
      <c r="AA3" s="137" t="s">
        <v>5</v>
      </c>
      <c r="AB3" s="137" t="s">
        <v>6</v>
      </c>
      <c r="AC3" s="4"/>
      <c r="AD3" s="1"/>
      <c r="AE3" s="1"/>
      <c r="AF3" s="1"/>
    </row>
    <row r="4" spans="1:32" ht="14.1">
      <c r="A4" s="5"/>
      <c r="B4" s="1">
        <v>1000</v>
      </c>
      <c r="C4" s="56" t="s">
        <v>7</v>
      </c>
      <c r="D4" s="56" t="s">
        <v>8</v>
      </c>
      <c r="E4" s="56" t="s">
        <v>9</v>
      </c>
      <c r="F4" s="56" t="s">
        <v>10</v>
      </c>
      <c r="G4" s="56" t="s">
        <v>11</v>
      </c>
      <c r="H4" s="56" t="s">
        <v>12</v>
      </c>
      <c r="I4" s="56" t="s">
        <v>13</v>
      </c>
      <c r="J4" s="56" t="s">
        <v>14</v>
      </c>
      <c r="K4" s="56" t="s">
        <v>15</v>
      </c>
      <c r="L4" s="56" t="s">
        <v>16</v>
      </c>
      <c r="M4" s="56" t="s">
        <v>17</v>
      </c>
      <c r="N4" s="56" t="s">
        <v>18</v>
      </c>
      <c r="O4" s="47"/>
      <c r="P4" s="57" t="s">
        <v>19</v>
      </c>
      <c r="Q4" s="57" t="s">
        <v>20</v>
      </c>
      <c r="R4" s="57" t="s">
        <v>21</v>
      </c>
      <c r="S4" s="57" t="s">
        <v>22</v>
      </c>
      <c r="T4" s="57" t="s">
        <v>23</v>
      </c>
      <c r="U4" s="58" t="s">
        <v>24</v>
      </c>
      <c r="V4" s="71"/>
      <c r="W4" s="56" t="s">
        <v>25</v>
      </c>
      <c r="X4" s="46"/>
      <c r="Y4" s="74" t="s">
        <v>26</v>
      </c>
      <c r="Z4" s="141" t="s">
        <v>26</v>
      </c>
      <c r="AA4" s="138"/>
      <c r="AB4" s="1"/>
      <c r="AC4" s="2"/>
      <c r="AD4" s="1"/>
      <c r="AE4" s="1"/>
      <c r="AF4" s="1"/>
    </row>
    <row r="5" spans="1:32">
      <c r="A5" s="5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6"/>
      <c r="P5" s="1"/>
      <c r="Q5" s="1"/>
      <c r="R5" s="1"/>
      <c r="S5" s="1"/>
      <c r="T5" s="1"/>
      <c r="U5" s="6"/>
      <c r="V5" s="72"/>
      <c r="W5" s="4"/>
      <c r="X5" s="46"/>
      <c r="Y5" s="61"/>
      <c r="Z5" s="142"/>
      <c r="AA5" s="138"/>
      <c r="AB5" s="1"/>
      <c r="AC5" s="2"/>
      <c r="AD5" s="1"/>
      <c r="AE5" s="1"/>
      <c r="AF5" s="1"/>
    </row>
    <row r="6" spans="1:32">
      <c r="A6" s="391" t="s">
        <v>27</v>
      </c>
      <c r="B6" s="9" t="s">
        <v>28</v>
      </c>
      <c r="C6" s="10">
        <v>772</v>
      </c>
      <c r="D6" s="10">
        <v>95</v>
      </c>
      <c r="E6" s="10">
        <v>70</v>
      </c>
      <c r="F6" s="10">
        <v>227</v>
      </c>
      <c r="G6" s="180">
        <v>392</v>
      </c>
      <c r="H6" s="10">
        <v>301</v>
      </c>
      <c r="I6" s="10">
        <v>499</v>
      </c>
      <c r="J6" s="10">
        <v>55</v>
      </c>
      <c r="K6" s="10">
        <v>440</v>
      </c>
      <c r="L6" s="180">
        <v>359</v>
      </c>
      <c r="M6" s="180">
        <v>794</v>
      </c>
      <c r="N6" s="26">
        <v>139</v>
      </c>
      <c r="O6" s="48"/>
      <c r="P6" s="59">
        <v>208</v>
      </c>
      <c r="Q6" s="59"/>
      <c r="R6" s="45"/>
      <c r="S6" s="59"/>
      <c r="T6" s="59"/>
      <c r="U6" s="124">
        <f>SUM(P6:T6)</f>
        <v>208</v>
      </c>
      <c r="V6" s="72"/>
      <c r="W6" s="77" t="s">
        <v>29</v>
      </c>
      <c r="X6" s="46"/>
      <c r="Y6" s="10">
        <v>85</v>
      </c>
      <c r="Z6" s="143">
        <v>95</v>
      </c>
      <c r="AA6" s="138"/>
      <c r="AB6" s="389" t="s">
        <v>30</v>
      </c>
      <c r="AC6" s="2"/>
      <c r="AD6" s="1"/>
      <c r="AE6" s="1"/>
      <c r="AF6" s="1"/>
    </row>
    <row r="7" spans="1:32">
      <c r="A7" s="391"/>
      <c r="B7" s="9" t="s">
        <v>31</v>
      </c>
      <c r="C7" s="10">
        <v>71</v>
      </c>
      <c r="D7" s="10">
        <v>37</v>
      </c>
      <c r="E7" s="10">
        <v>21</v>
      </c>
      <c r="F7" s="10">
        <v>32</v>
      </c>
      <c r="G7" s="180">
        <v>105</v>
      </c>
      <c r="H7" s="10">
        <v>89</v>
      </c>
      <c r="I7" s="10">
        <v>75</v>
      </c>
      <c r="J7" s="10">
        <v>1</v>
      </c>
      <c r="K7" s="10">
        <v>93</v>
      </c>
      <c r="L7" s="180">
        <v>91</v>
      </c>
      <c r="M7" s="180">
        <v>71</v>
      </c>
      <c r="N7" s="26">
        <v>11</v>
      </c>
      <c r="O7" s="48"/>
      <c r="P7" s="45">
        <v>15</v>
      </c>
      <c r="Q7" s="45"/>
      <c r="R7" s="45"/>
      <c r="S7" s="59"/>
      <c r="T7" s="59"/>
      <c r="U7" s="124">
        <f>SUM(P7:T7)</f>
        <v>15</v>
      </c>
      <c r="V7" s="72"/>
      <c r="W7" s="168" t="s">
        <v>32</v>
      </c>
      <c r="X7" s="46"/>
      <c r="Y7" s="10">
        <v>22</v>
      </c>
      <c r="Z7" s="143">
        <v>25</v>
      </c>
      <c r="AA7" s="138"/>
      <c r="AB7" s="390"/>
      <c r="AC7" s="2"/>
      <c r="AD7" s="1"/>
      <c r="AE7" s="1"/>
      <c r="AF7" s="1"/>
    </row>
    <row r="8" spans="1:32">
      <c r="A8" s="391"/>
      <c r="B8" s="9" t="s">
        <v>33</v>
      </c>
      <c r="C8" s="134">
        <v>250500</v>
      </c>
      <c r="D8" s="15">
        <v>87000</v>
      </c>
      <c r="E8" s="15">
        <v>40667</v>
      </c>
      <c r="F8" s="134" t="s">
        <v>34</v>
      </c>
      <c r="G8" s="181">
        <v>288000</v>
      </c>
      <c r="H8" s="134">
        <v>349000</v>
      </c>
      <c r="I8" s="134">
        <v>150500</v>
      </c>
      <c r="J8" s="134">
        <v>7200</v>
      </c>
      <c r="K8" s="134">
        <v>310000</v>
      </c>
      <c r="L8" s="181">
        <v>65000</v>
      </c>
      <c r="M8" s="181">
        <v>185000</v>
      </c>
      <c r="N8" s="181">
        <v>278000</v>
      </c>
      <c r="O8" s="48"/>
      <c r="P8" s="133">
        <v>177000</v>
      </c>
      <c r="Q8" s="133"/>
      <c r="R8" s="133"/>
      <c r="S8" s="133"/>
      <c r="T8" s="133"/>
      <c r="U8" s="125">
        <f>SUM(P8:T8)</f>
        <v>177000</v>
      </c>
      <c r="V8" s="72"/>
      <c r="W8" s="77" t="s">
        <v>29</v>
      </c>
      <c r="X8" s="46"/>
      <c r="Y8" s="10" t="s">
        <v>35</v>
      </c>
      <c r="Z8" s="143" t="s">
        <v>36</v>
      </c>
      <c r="AA8" s="138"/>
      <c r="AB8" s="390"/>
      <c r="AC8" s="2"/>
      <c r="AD8" s="1"/>
      <c r="AE8" s="1"/>
      <c r="AF8" s="1"/>
    </row>
    <row r="9" spans="1:32">
      <c r="A9" s="391"/>
      <c r="B9" s="9" t="s">
        <v>37</v>
      </c>
      <c r="C9" s="16">
        <v>9.1968911917098439E-2</v>
      </c>
      <c r="D9" s="16">
        <v>0.38</v>
      </c>
      <c r="E9" s="16">
        <v>0.3</v>
      </c>
      <c r="F9" s="16">
        <v>0.15</v>
      </c>
      <c r="G9" s="182">
        <v>0.2865763370165112</v>
      </c>
      <c r="H9" s="16">
        <v>0.31</v>
      </c>
      <c r="I9" s="17">
        <v>0.14006022849282965</v>
      </c>
      <c r="J9" s="17">
        <v>2.6315789473684209E-2</v>
      </c>
      <c r="K9" s="17">
        <v>0.24</v>
      </c>
      <c r="L9" s="182">
        <v>0.24758419630997422</v>
      </c>
      <c r="M9" s="182">
        <v>8.700891893572732E-2</v>
      </c>
      <c r="N9" s="182">
        <v>7.9136690647482008E-2</v>
      </c>
      <c r="O9" s="48"/>
      <c r="P9" s="186">
        <f t="shared" ref="P9:U9" si="0">P7/P6</f>
        <v>7.2115384615384609E-2</v>
      </c>
      <c r="Q9" s="186" t="e">
        <f t="shared" si="0"/>
        <v>#DIV/0!</v>
      </c>
      <c r="R9" s="186" t="e">
        <f t="shared" si="0"/>
        <v>#DIV/0!</v>
      </c>
      <c r="S9" s="186" t="e">
        <f t="shared" si="0"/>
        <v>#DIV/0!</v>
      </c>
      <c r="T9" s="186" t="e">
        <f t="shared" si="0"/>
        <v>#DIV/0!</v>
      </c>
      <c r="U9" s="158">
        <f t="shared" si="0"/>
        <v>7.2115384615384609E-2</v>
      </c>
      <c r="V9" s="72"/>
      <c r="W9" s="168" t="s">
        <v>32</v>
      </c>
      <c r="X9" s="46"/>
      <c r="Y9" s="17">
        <v>0.26</v>
      </c>
      <c r="Z9" s="144">
        <v>0.26</v>
      </c>
      <c r="AA9" s="138"/>
      <c r="AB9" s="390"/>
      <c r="AC9" s="2"/>
      <c r="AD9" s="1"/>
      <c r="AE9" s="1"/>
      <c r="AF9" s="1"/>
    </row>
    <row r="10" spans="1:32">
      <c r="A10" s="391"/>
      <c r="B10" s="9" t="s">
        <v>38</v>
      </c>
      <c r="C10" s="15">
        <v>3063.068181818182</v>
      </c>
      <c r="D10" s="15">
        <v>1600</v>
      </c>
      <c r="E10" s="15">
        <v>5333</v>
      </c>
      <c r="F10" s="10" t="s">
        <v>39</v>
      </c>
      <c r="G10" s="181">
        <v>1774.25</v>
      </c>
      <c r="H10" s="134">
        <v>5217.25</v>
      </c>
      <c r="I10" s="134">
        <v>1619</v>
      </c>
      <c r="J10" s="134">
        <v>3600</v>
      </c>
      <c r="K10" s="134">
        <v>3056.25</v>
      </c>
      <c r="L10" s="181">
        <v>12875</v>
      </c>
      <c r="M10" s="181">
        <v>2820.3463203463202</v>
      </c>
      <c r="N10" s="181">
        <v>25272.727272727272</v>
      </c>
      <c r="O10" s="48"/>
      <c r="P10" s="160">
        <f t="shared" ref="P10" si="1">P8/P7</f>
        <v>11800</v>
      </c>
      <c r="Q10" s="160" t="e">
        <f>Q8/Q7</f>
        <v>#DIV/0!</v>
      </c>
      <c r="R10" s="160" t="e">
        <f>R8/R7</f>
        <v>#DIV/0!</v>
      </c>
      <c r="S10" s="160" t="e">
        <f>S8/S7</f>
        <v>#DIV/0!</v>
      </c>
      <c r="T10" s="160"/>
      <c r="U10" s="125" t="e">
        <f>AVERAGE(P10:T10)</f>
        <v>#DIV/0!</v>
      </c>
      <c r="V10" s="72"/>
      <c r="W10" s="77" t="s">
        <v>40</v>
      </c>
      <c r="X10" s="72"/>
      <c r="Y10" s="15">
        <v>2800</v>
      </c>
      <c r="Z10" s="136">
        <v>2800</v>
      </c>
      <c r="AA10" s="138"/>
      <c r="AB10" s="390"/>
      <c r="AC10" s="2"/>
      <c r="AD10" s="1"/>
      <c r="AE10" s="1"/>
      <c r="AF10" s="1"/>
    </row>
    <row r="11" spans="1:32">
      <c r="A11" s="391"/>
      <c r="B11" s="9" t="s">
        <v>41</v>
      </c>
      <c r="C11" s="17">
        <v>0.95</v>
      </c>
      <c r="D11" s="17">
        <v>1.03</v>
      </c>
      <c r="E11" s="17">
        <v>0.9</v>
      </c>
      <c r="F11" s="17">
        <v>0.92</v>
      </c>
      <c r="G11" s="182">
        <v>0.95</v>
      </c>
      <c r="H11" s="17">
        <v>1</v>
      </c>
      <c r="I11" s="17">
        <v>1</v>
      </c>
      <c r="J11" s="17">
        <v>0.9</v>
      </c>
      <c r="K11" s="17">
        <v>0.95</v>
      </c>
      <c r="L11" s="182">
        <v>1</v>
      </c>
      <c r="M11" s="182">
        <v>0.75</v>
      </c>
      <c r="N11" s="182">
        <v>0.8</v>
      </c>
      <c r="O11" s="48"/>
      <c r="P11" s="106">
        <v>1</v>
      </c>
      <c r="Q11" s="106"/>
      <c r="R11" s="106"/>
      <c r="S11" s="106"/>
      <c r="T11" s="106"/>
      <c r="U11" s="158">
        <f>AVERAGE(P11:T11)</f>
        <v>1</v>
      </c>
      <c r="V11" s="72"/>
      <c r="W11" s="168" t="s">
        <v>32</v>
      </c>
      <c r="X11" s="46"/>
      <c r="Y11" s="17">
        <v>0.9</v>
      </c>
      <c r="Z11" s="144">
        <v>1</v>
      </c>
      <c r="AA11" s="138"/>
      <c r="AB11" s="390"/>
      <c r="AC11" s="2"/>
      <c r="AD11" s="1"/>
      <c r="AE11" s="1"/>
      <c r="AF11" s="1"/>
    </row>
    <row r="12" spans="1:32">
      <c r="A12" s="391"/>
      <c r="B12" s="9" t="s">
        <v>42</v>
      </c>
      <c r="C12" s="10">
        <v>0.5</v>
      </c>
      <c r="D12" s="10"/>
      <c r="E12" s="10"/>
      <c r="F12" s="10">
        <v>0.4</v>
      </c>
      <c r="G12" s="26">
        <v>1</v>
      </c>
      <c r="H12" s="10">
        <v>0.75</v>
      </c>
      <c r="I12" s="10">
        <v>0.4</v>
      </c>
      <c r="J12" s="10">
        <v>0</v>
      </c>
      <c r="K12" s="10">
        <v>0.25</v>
      </c>
      <c r="L12" s="26">
        <v>0.6</v>
      </c>
      <c r="M12" s="26">
        <v>1.75</v>
      </c>
      <c r="N12" s="26">
        <v>1</v>
      </c>
      <c r="O12" s="48"/>
      <c r="P12" s="59">
        <v>0</v>
      </c>
      <c r="Q12" s="59"/>
      <c r="R12" s="59"/>
      <c r="S12" s="59"/>
      <c r="T12" s="59"/>
      <c r="U12" s="159">
        <f>AVERAGE(P12:T12)</f>
        <v>0</v>
      </c>
      <c r="V12" s="72"/>
      <c r="W12" s="77" t="s">
        <v>40</v>
      </c>
      <c r="X12" s="46"/>
      <c r="Y12" s="10">
        <v>0.5</v>
      </c>
      <c r="Z12" s="143">
        <v>1</v>
      </c>
      <c r="AA12" s="138"/>
      <c r="AB12" s="4"/>
      <c r="AC12" s="2"/>
      <c r="AD12" s="1"/>
      <c r="AE12" s="1"/>
      <c r="AF12" s="1"/>
    </row>
    <row r="13" spans="1:32">
      <c r="A13" s="5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46"/>
      <c r="P13" s="11"/>
      <c r="Q13" s="11"/>
      <c r="R13" s="11"/>
      <c r="S13" s="11"/>
      <c r="T13" s="11"/>
      <c r="U13" s="6"/>
      <c r="V13" s="72"/>
      <c r="W13" s="7"/>
      <c r="X13" s="46"/>
      <c r="Y13" s="1"/>
      <c r="Z13" s="1"/>
      <c r="AA13" s="138"/>
      <c r="AB13" s="1"/>
      <c r="AC13" s="2"/>
      <c r="AD13" s="1"/>
      <c r="AE13" s="1"/>
      <c r="AF13" s="1"/>
    </row>
    <row r="14" spans="1:32">
      <c r="A14" s="5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46"/>
      <c r="P14" s="11"/>
      <c r="Q14" s="11"/>
      <c r="R14" s="11"/>
      <c r="S14" s="11"/>
      <c r="T14" s="11"/>
      <c r="U14" s="6"/>
      <c r="V14" s="72"/>
      <c r="W14" s="7"/>
      <c r="X14" s="46"/>
      <c r="Y14" s="1"/>
      <c r="Z14" s="1"/>
      <c r="AA14" s="138"/>
      <c r="AB14" s="1"/>
      <c r="AC14" s="2"/>
      <c r="AD14" s="1"/>
      <c r="AE14" s="1">
        <f>40000/14</f>
        <v>2857.1428571428573</v>
      </c>
      <c r="AF14" s="1"/>
    </row>
    <row r="15" spans="1:32">
      <c r="A15" s="391" t="s">
        <v>43</v>
      </c>
      <c r="B15" s="18" t="s">
        <v>44</v>
      </c>
      <c r="C15" s="162">
        <v>530.75</v>
      </c>
      <c r="D15" s="10">
        <v>879</v>
      </c>
      <c r="E15" s="10">
        <v>866</v>
      </c>
      <c r="F15" s="162">
        <v>524.20000000000005</v>
      </c>
      <c r="G15" s="162">
        <v>658.75</v>
      </c>
      <c r="H15" s="162">
        <v>799.5</v>
      </c>
      <c r="I15" s="10">
        <v>375.4</v>
      </c>
      <c r="J15" s="10">
        <v>107</v>
      </c>
      <c r="K15" s="162">
        <v>724.25</v>
      </c>
      <c r="L15" s="162">
        <v>575.6</v>
      </c>
      <c r="M15" s="162">
        <v>503.5</v>
      </c>
      <c r="N15" s="10">
        <v>430</v>
      </c>
      <c r="O15" s="48"/>
      <c r="P15" s="226">
        <v>897</v>
      </c>
      <c r="Q15" s="223">
        <v>1050</v>
      </c>
      <c r="R15" s="61"/>
      <c r="S15" s="60"/>
      <c r="T15" s="60"/>
      <c r="U15" s="123">
        <f>AVERAGE(P15:T15)</f>
        <v>973.5</v>
      </c>
      <c r="V15" s="72"/>
      <c r="W15" s="76" t="s">
        <v>45</v>
      </c>
      <c r="X15" s="46"/>
      <c r="Y15" s="70">
        <v>1100</v>
      </c>
      <c r="Z15" s="145">
        <v>1500</v>
      </c>
      <c r="AA15" s="138"/>
      <c r="AB15" s="8"/>
      <c r="AC15" s="2"/>
      <c r="AD15" s="1"/>
      <c r="AE15" s="1"/>
      <c r="AF15" s="1"/>
    </row>
    <row r="16" spans="1:32">
      <c r="A16" s="391"/>
      <c r="B16" s="18" t="s">
        <v>46</v>
      </c>
      <c r="C16" s="10">
        <v>557</v>
      </c>
      <c r="D16" s="10">
        <v>357</v>
      </c>
      <c r="E16" s="10">
        <v>427</v>
      </c>
      <c r="F16" s="163">
        <v>118.8</v>
      </c>
      <c r="G16" s="162">
        <v>162.5</v>
      </c>
      <c r="H16" s="162">
        <v>385.5</v>
      </c>
      <c r="I16" s="162">
        <v>295.8</v>
      </c>
      <c r="J16" s="10">
        <v>124</v>
      </c>
      <c r="K16" s="162">
        <v>831.75</v>
      </c>
      <c r="L16" s="162">
        <v>247.8</v>
      </c>
      <c r="M16" s="162">
        <v>396.25</v>
      </c>
      <c r="N16" s="10">
        <v>561</v>
      </c>
      <c r="O16" s="48"/>
      <c r="P16" s="226">
        <v>1828</v>
      </c>
      <c r="Q16" s="224">
        <v>2529</v>
      </c>
      <c r="R16" s="61"/>
      <c r="S16" s="60"/>
      <c r="T16" s="60"/>
      <c r="U16" s="123">
        <f>AVERAGE(P16:T16)</f>
        <v>2178.5</v>
      </c>
      <c r="V16" s="72"/>
      <c r="W16" s="76" t="s">
        <v>45</v>
      </c>
      <c r="X16" s="46"/>
      <c r="Y16" s="70">
        <v>500</v>
      </c>
      <c r="Z16" s="145">
        <v>1000</v>
      </c>
      <c r="AA16" s="138"/>
      <c r="AB16" s="8"/>
      <c r="AC16" s="2"/>
      <c r="AD16" s="1"/>
      <c r="AE16" s="1"/>
      <c r="AF16" s="1"/>
    </row>
    <row r="17" spans="1:32">
      <c r="A17" s="391"/>
      <c r="B17" s="18" t="s">
        <v>47</v>
      </c>
      <c r="C17" s="15">
        <v>141468.25</v>
      </c>
      <c r="D17" s="15">
        <v>248520</v>
      </c>
      <c r="E17" s="136">
        <v>213405</v>
      </c>
      <c r="F17" s="135" t="s">
        <v>48</v>
      </c>
      <c r="G17" s="15">
        <v>228606.25</v>
      </c>
      <c r="H17" s="15">
        <v>234599.5</v>
      </c>
      <c r="I17" s="134">
        <v>70244.800000000003</v>
      </c>
      <c r="J17" s="134">
        <v>49779.75</v>
      </c>
      <c r="K17" s="134">
        <v>237585.5</v>
      </c>
      <c r="L17" s="134">
        <v>204956.6</v>
      </c>
      <c r="M17" s="134">
        <v>238321</v>
      </c>
      <c r="N17" s="134">
        <v>203611</v>
      </c>
      <c r="O17" s="48"/>
      <c r="P17" s="225">
        <v>337000</v>
      </c>
      <c r="Q17" s="133">
        <v>260107</v>
      </c>
      <c r="R17" s="105"/>
      <c r="S17" s="134"/>
      <c r="T17" s="102"/>
      <c r="U17" s="116">
        <f>AVERAGE(P17:T17)</f>
        <v>298553.5</v>
      </c>
      <c r="V17" s="72"/>
      <c r="W17" s="76" t="s">
        <v>45</v>
      </c>
      <c r="X17" s="46"/>
      <c r="Y17" s="15">
        <v>200000</v>
      </c>
      <c r="Z17" s="136">
        <v>275000</v>
      </c>
      <c r="AA17" s="138"/>
      <c r="AB17" s="8"/>
      <c r="AC17" s="2"/>
      <c r="AD17" s="1"/>
      <c r="AE17" s="1"/>
      <c r="AF17" s="1"/>
    </row>
    <row r="18" spans="1:32">
      <c r="A18" s="391"/>
      <c r="B18" s="18" t="s">
        <v>49</v>
      </c>
      <c r="C18" s="134">
        <v>54744.2</v>
      </c>
      <c r="D18" s="15">
        <v>207156</v>
      </c>
      <c r="E18" s="136">
        <v>184503</v>
      </c>
      <c r="F18" s="135" t="s">
        <v>50</v>
      </c>
      <c r="G18" s="15">
        <v>160541.51250000001</v>
      </c>
      <c r="H18" s="15">
        <v>130620</v>
      </c>
      <c r="I18" s="134">
        <v>55497</v>
      </c>
      <c r="J18" s="134">
        <v>32206</v>
      </c>
      <c r="K18" s="134">
        <v>114109.6</v>
      </c>
      <c r="L18" s="134">
        <v>158912.6</v>
      </c>
      <c r="M18" s="134">
        <v>141546</v>
      </c>
      <c r="N18" s="134">
        <v>57379.4</v>
      </c>
      <c r="O18" s="48"/>
      <c r="P18" s="225">
        <f>P17-P20-P19</f>
        <v>147778</v>
      </c>
      <c r="Q18" s="225">
        <f>Q17-Q20-Q19</f>
        <v>227187</v>
      </c>
      <c r="R18" s="104">
        <f>R17-R20-R19</f>
        <v>0</v>
      </c>
      <c r="S18" s="104">
        <f>S17-S20-S19</f>
        <v>0</v>
      </c>
      <c r="T18" s="102">
        <f>T17-T19-T20</f>
        <v>0</v>
      </c>
      <c r="U18" s="116">
        <f t="shared" ref="U18:U20" si="2">AVERAGE(P18:T18)</f>
        <v>74993</v>
      </c>
      <c r="V18" s="72"/>
      <c r="W18" s="76" t="s">
        <v>45</v>
      </c>
      <c r="X18" s="46"/>
      <c r="Y18" s="17">
        <v>0.6</v>
      </c>
      <c r="Z18" s="167">
        <f>Z17*Y18</f>
        <v>165000</v>
      </c>
      <c r="AA18" s="138"/>
      <c r="AB18" s="8"/>
      <c r="AC18" s="2"/>
      <c r="AD18" s="1"/>
      <c r="AE18" s="1"/>
      <c r="AF18" s="1"/>
    </row>
    <row r="19" spans="1:32">
      <c r="A19" s="391"/>
      <c r="B19" s="18" t="s">
        <v>51</v>
      </c>
      <c r="C19" s="134">
        <v>63073.75</v>
      </c>
      <c r="D19" s="15">
        <v>36374</v>
      </c>
      <c r="E19" s="136">
        <v>18796</v>
      </c>
      <c r="F19" s="135" t="s">
        <v>52</v>
      </c>
      <c r="G19" s="15">
        <v>62190.987500000003</v>
      </c>
      <c r="H19" s="15">
        <v>87777.25</v>
      </c>
      <c r="I19" s="134">
        <v>13509.25</v>
      </c>
      <c r="J19" s="134">
        <v>9410.5</v>
      </c>
      <c r="K19" s="171">
        <v>58843.5</v>
      </c>
      <c r="L19" s="134">
        <v>36993</v>
      </c>
      <c r="M19" s="134">
        <v>41711</v>
      </c>
      <c r="N19" s="134">
        <v>46882</v>
      </c>
      <c r="O19" s="48"/>
      <c r="P19" s="263">
        <v>177368</v>
      </c>
      <c r="Q19" s="264">
        <v>21212</v>
      </c>
      <c r="R19" s="265"/>
      <c r="S19" s="266"/>
      <c r="T19" s="267"/>
      <c r="U19" s="268">
        <f t="shared" si="2"/>
        <v>99290</v>
      </c>
      <c r="V19" s="72"/>
      <c r="W19" s="76" t="s">
        <v>45</v>
      </c>
      <c r="X19" s="46"/>
      <c r="Y19" s="17">
        <v>0.3</v>
      </c>
      <c r="Z19" s="167">
        <f>Z17*Y19</f>
        <v>82500</v>
      </c>
      <c r="AA19" s="138"/>
      <c r="AB19" s="8"/>
      <c r="AC19" s="2"/>
      <c r="AD19" s="1"/>
      <c r="AE19" s="1"/>
      <c r="AF19" s="1"/>
    </row>
    <row r="20" spans="1:32">
      <c r="A20" s="391"/>
      <c r="B20" s="18" t="s">
        <v>53</v>
      </c>
      <c r="C20" s="134">
        <v>9964.25</v>
      </c>
      <c r="D20" s="15">
        <v>4991</v>
      </c>
      <c r="E20" s="136">
        <v>10105</v>
      </c>
      <c r="F20" s="135" t="s">
        <v>54</v>
      </c>
      <c r="G20" s="15">
        <v>5873.75</v>
      </c>
      <c r="H20" s="15">
        <v>16202.25</v>
      </c>
      <c r="I20" s="134">
        <v>6567.333333333333</v>
      </c>
      <c r="J20" s="134">
        <v>111.75</v>
      </c>
      <c r="K20" s="134">
        <v>36105</v>
      </c>
      <c r="L20" s="259">
        <v>9051</v>
      </c>
      <c r="M20" s="259">
        <v>19677.5</v>
      </c>
      <c r="N20" s="259">
        <v>13280.5</v>
      </c>
      <c r="O20" s="48"/>
      <c r="P20" s="275">
        <v>11854</v>
      </c>
      <c r="Q20" s="276">
        <v>11708</v>
      </c>
      <c r="R20" s="277"/>
      <c r="S20" s="173"/>
      <c r="T20" s="278"/>
      <c r="U20" s="279">
        <f t="shared" si="2"/>
        <v>11781</v>
      </c>
      <c r="V20" s="72"/>
      <c r="W20" s="168" t="s">
        <v>32</v>
      </c>
      <c r="X20" s="46"/>
      <c r="Y20" s="17">
        <v>0.1</v>
      </c>
      <c r="Z20" s="167">
        <f>Z17*Y20</f>
        <v>27500</v>
      </c>
      <c r="AA20" s="138"/>
      <c r="AB20" s="8"/>
      <c r="AC20" s="2"/>
      <c r="AD20" s="1"/>
      <c r="AE20" s="1"/>
      <c r="AF20" s="1"/>
    </row>
    <row r="21" spans="1:32">
      <c r="A21" s="391"/>
      <c r="B21" s="13"/>
      <c r="C21" s="359"/>
      <c r="D21" s="254"/>
      <c r="E21" s="254"/>
      <c r="F21" s="255"/>
      <c r="G21" s="254"/>
      <c r="H21" s="254"/>
      <c r="I21" s="256"/>
      <c r="J21" s="256"/>
      <c r="K21" s="256"/>
      <c r="L21" s="261"/>
      <c r="M21" s="261"/>
      <c r="N21" s="261"/>
      <c r="O21" s="48"/>
      <c r="P21" s="275"/>
      <c r="Q21" s="276"/>
      <c r="R21" s="277"/>
      <c r="S21" s="173"/>
      <c r="T21" s="278"/>
      <c r="U21" s="279"/>
      <c r="V21" s="72"/>
      <c r="W21" s="257"/>
      <c r="X21" s="46"/>
      <c r="Y21" s="258"/>
      <c r="Z21" s="256"/>
      <c r="AA21" s="138"/>
      <c r="AB21" s="8"/>
      <c r="AC21" s="2"/>
      <c r="AD21" s="1"/>
      <c r="AE21" s="1"/>
      <c r="AF21" s="1"/>
    </row>
    <row r="22" spans="1:32">
      <c r="A22" s="391"/>
      <c r="B22" s="13" t="s">
        <v>55</v>
      </c>
      <c r="C22" s="360">
        <v>79516.666666666672</v>
      </c>
      <c r="D22" s="13"/>
      <c r="E22" s="13"/>
      <c r="F22" s="12"/>
      <c r="G22" s="12"/>
      <c r="H22" s="12"/>
      <c r="I22" s="12"/>
      <c r="J22" s="12"/>
      <c r="K22" s="12"/>
      <c r="L22" s="262"/>
      <c r="M22" s="262"/>
      <c r="N22" s="262"/>
      <c r="O22" s="49"/>
      <c r="P22" s="357">
        <v>159398</v>
      </c>
      <c r="Q22" s="280">
        <v>67170</v>
      </c>
      <c r="R22" s="281"/>
      <c r="S22" s="327"/>
      <c r="T22" s="175"/>
      <c r="U22" s="286">
        <f>AVERAGE(P22:T22)</f>
        <v>113284</v>
      </c>
      <c r="V22" s="72"/>
      <c r="W22" s="283"/>
      <c r="X22" s="46"/>
      <c r="Y22" s="138"/>
      <c r="Z22" s="285"/>
      <c r="AA22" s="284"/>
      <c r="AB22" s="8"/>
      <c r="AC22" s="2"/>
      <c r="AD22" s="1"/>
      <c r="AE22" s="1"/>
      <c r="AF22" s="1"/>
    </row>
    <row r="23" spans="1:32">
      <c r="A23" s="391"/>
      <c r="B23" s="13"/>
      <c r="C23" s="13"/>
      <c r="D23" s="13"/>
      <c r="E23" s="13"/>
      <c r="F23" s="12"/>
      <c r="G23" s="12"/>
      <c r="H23" s="12"/>
      <c r="I23" s="12"/>
      <c r="J23" s="12"/>
      <c r="K23" s="12"/>
      <c r="L23" s="262"/>
      <c r="M23" s="262"/>
      <c r="N23" s="262"/>
      <c r="O23" s="49"/>
      <c r="P23" s="358">
        <f>P22/P17</f>
        <v>0.47299109792284866</v>
      </c>
      <c r="Q23" s="377">
        <f>Q22/Q17</f>
        <v>0.25823987820396993</v>
      </c>
      <c r="R23" s="281"/>
      <c r="S23" s="175"/>
      <c r="T23" s="175"/>
      <c r="U23" s="282"/>
      <c r="V23" s="72"/>
      <c r="W23" s="19"/>
      <c r="X23" s="46"/>
      <c r="Y23" s="1"/>
      <c r="Z23" s="13"/>
      <c r="AA23" s="138"/>
      <c r="AB23" s="8"/>
      <c r="AC23" s="2"/>
      <c r="AD23" s="1"/>
      <c r="AE23" s="1"/>
      <c r="AF23" s="1"/>
    </row>
    <row r="24" spans="1:32" ht="27.95">
      <c r="A24" s="391"/>
      <c r="B24" s="20" t="s">
        <v>56</v>
      </c>
      <c r="C24" s="21">
        <v>271609.66666666669</v>
      </c>
      <c r="D24" s="21">
        <v>344729</v>
      </c>
      <c r="E24" s="21">
        <v>557431</v>
      </c>
      <c r="F24" s="22" t="s">
        <v>57</v>
      </c>
      <c r="G24" s="184">
        <v>210117.25</v>
      </c>
      <c r="H24" s="21">
        <v>338034</v>
      </c>
      <c r="I24" s="184">
        <v>286654.66666666669</v>
      </c>
      <c r="J24" s="184">
        <v>110616</v>
      </c>
      <c r="K24" s="21">
        <v>561716.66666666663</v>
      </c>
      <c r="L24" s="260">
        <v>476564.2</v>
      </c>
      <c r="M24" s="260">
        <v>570629</v>
      </c>
      <c r="N24" s="260">
        <v>440960</v>
      </c>
      <c r="O24" s="50"/>
      <c r="P24" s="269">
        <v>631338</v>
      </c>
      <c r="Q24" s="270">
        <v>533074</v>
      </c>
      <c r="R24" s="271"/>
      <c r="S24" s="272"/>
      <c r="T24" s="273"/>
      <c r="U24" s="274">
        <f>AVERAGE(P24:T24)</f>
        <v>582206</v>
      </c>
      <c r="V24" s="72"/>
      <c r="W24" s="76" t="s">
        <v>45</v>
      </c>
      <c r="X24" s="46"/>
      <c r="Y24" s="21">
        <v>587136</v>
      </c>
      <c r="Z24" s="146">
        <v>880704</v>
      </c>
      <c r="AA24" s="138"/>
      <c r="AB24" s="8"/>
      <c r="AC24" s="2"/>
      <c r="AD24" s="1"/>
      <c r="AE24" s="1"/>
      <c r="AF24" s="1"/>
    </row>
    <row r="25" spans="1:32">
      <c r="A25" s="391"/>
      <c r="B25" s="23" t="s">
        <v>58</v>
      </c>
      <c r="C25" s="21">
        <v>2198586.6666666665</v>
      </c>
      <c r="D25" s="21">
        <v>1233692</v>
      </c>
      <c r="E25" s="21">
        <v>557431</v>
      </c>
      <c r="F25" s="22" t="s">
        <v>59</v>
      </c>
      <c r="G25" s="184">
        <v>892785.5</v>
      </c>
      <c r="H25" s="21">
        <v>340534</v>
      </c>
      <c r="I25" s="184">
        <v>1373326.5</v>
      </c>
      <c r="J25" s="184">
        <v>724868.25</v>
      </c>
      <c r="K25" s="21">
        <v>561716.66666666663</v>
      </c>
      <c r="L25" s="184">
        <v>2282112.2000000002</v>
      </c>
      <c r="M25" s="184">
        <v>1328220.25</v>
      </c>
      <c r="N25" s="184">
        <v>440960</v>
      </c>
      <c r="O25" s="50"/>
      <c r="P25" s="219">
        <v>1432215</v>
      </c>
      <c r="Q25" s="193">
        <v>1288059</v>
      </c>
      <c r="R25" s="173"/>
      <c r="S25" s="196"/>
      <c r="T25" s="101"/>
      <c r="U25" s="118">
        <f>AVERAGE(P25:T25)</f>
        <v>1360137</v>
      </c>
      <c r="V25" s="72"/>
      <c r="W25" s="168" t="s">
        <v>32</v>
      </c>
      <c r="X25" s="46"/>
      <c r="Y25" s="22" t="s">
        <v>60</v>
      </c>
      <c r="Z25" s="147" t="s">
        <v>61</v>
      </c>
      <c r="AA25" s="138"/>
      <c r="AB25" s="8"/>
      <c r="AC25" s="2"/>
      <c r="AD25" s="1"/>
      <c r="AE25" s="1"/>
      <c r="AF25" s="1"/>
    </row>
    <row r="26" spans="1:32">
      <c r="A26" s="391"/>
      <c r="B26" s="13"/>
      <c r="C26" s="24"/>
      <c r="D26" s="24"/>
      <c r="E26" s="24"/>
      <c r="F26" s="13"/>
      <c r="G26" s="13"/>
      <c r="H26" s="13"/>
      <c r="I26" s="13"/>
      <c r="J26" s="13"/>
      <c r="K26" s="13"/>
      <c r="L26" s="12"/>
      <c r="M26" s="13"/>
      <c r="N26" s="13"/>
      <c r="O26" s="51"/>
      <c r="P26" s="203"/>
      <c r="Q26" s="11"/>
      <c r="R26" s="11"/>
      <c r="S26" s="11"/>
      <c r="T26" s="11"/>
      <c r="U26" s="119"/>
      <c r="V26" s="46"/>
      <c r="W26" s="25"/>
      <c r="X26" s="46"/>
      <c r="Y26" s="12"/>
      <c r="Z26" s="13"/>
      <c r="AA26" s="138"/>
      <c r="AB26" s="8"/>
      <c r="AC26" s="1"/>
      <c r="AD26" s="1"/>
      <c r="AE26" s="1"/>
      <c r="AF26" s="1"/>
    </row>
    <row r="27" spans="1:32">
      <c r="A27" s="391"/>
      <c r="B27" s="18" t="s">
        <v>62</v>
      </c>
      <c r="C27" s="17">
        <v>9.9333333333333329E-2</v>
      </c>
      <c r="D27" s="17">
        <v>0.37</v>
      </c>
      <c r="E27" s="17">
        <v>0.5</v>
      </c>
      <c r="F27" s="17">
        <v>0.57999999999999996</v>
      </c>
      <c r="G27" s="185">
        <v>0.2225</v>
      </c>
      <c r="H27" s="185">
        <v>0.4</v>
      </c>
      <c r="I27" s="185">
        <v>0.54400000000000004</v>
      </c>
      <c r="J27" s="185">
        <v>0.54</v>
      </c>
      <c r="K27" s="185">
        <v>0.53</v>
      </c>
      <c r="L27" s="182">
        <v>0.51</v>
      </c>
      <c r="M27" s="185">
        <v>0.34749999999999998</v>
      </c>
      <c r="N27" s="185">
        <v>0.22499999999999998</v>
      </c>
      <c r="O27" s="51"/>
      <c r="P27" s="106">
        <v>0.2</v>
      </c>
      <c r="Q27" s="106">
        <v>0.2</v>
      </c>
      <c r="R27" s="106"/>
      <c r="S27" s="106"/>
      <c r="T27" s="106"/>
      <c r="U27" s="126">
        <f>AVERAGE(P27:T27)</f>
        <v>0.2</v>
      </c>
      <c r="V27" s="46"/>
      <c r="W27" s="201" t="s">
        <v>40</v>
      </c>
      <c r="X27" s="46"/>
      <c r="Y27" s="37">
        <v>0.5</v>
      </c>
      <c r="Z27" s="150">
        <v>0.6</v>
      </c>
      <c r="AA27" s="138"/>
      <c r="AB27" s="8"/>
      <c r="AC27" s="1"/>
      <c r="AD27" s="1"/>
      <c r="AE27" s="1"/>
      <c r="AF27" s="1"/>
    </row>
    <row r="28" spans="1:32">
      <c r="A28" s="391"/>
      <c r="B28" s="13"/>
      <c r="C28" s="24"/>
      <c r="D28" s="24"/>
      <c r="E28" s="24"/>
      <c r="F28" s="13"/>
      <c r="G28" s="13"/>
      <c r="H28" s="13"/>
      <c r="I28" s="13"/>
      <c r="J28" s="13"/>
      <c r="K28" s="13"/>
      <c r="L28" s="12"/>
      <c r="M28" s="13"/>
      <c r="N28" s="13"/>
      <c r="O28" s="51"/>
      <c r="P28" s="11"/>
      <c r="Q28" s="11"/>
      <c r="R28" s="11"/>
      <c r="S28" s="11"/>
      <c r="T28" s="11"/>
      <c r="U28" s="119"/>
      <c r="V28" s="46"/>
      <c r="W28" s="25"/>
      <c r="X28" s="46"/>
      <c r="Y28" s="12"/>
      <c r="Z28" s="13"/>
      <c r="AA28" s="138"/>
      <c r="AB28" s="8"/>
      <c r="AC28" s="1"/>
      <c r="AD28" s="1"/>
      <c r="AE28" s="1"/>
      <c r="AF28" s="1"/>
    </row>
    <row r="29" spans="1:32">
      <c r="A29" s="391"/>
      <c r="B29" s="18" t="s">
        <v>63</v>
      </c>
      <c r="C29" s="27">
        <v>273150</v>
      </c>
      <c r="D29" s="27">
        <v>293568</v>
      </c>
      <c r="E29" s="28">
        <v>458160</v>
      </c>
      <c r="F29" s="10" t="s">
        <v>64</v>
      </c>
      <c r="G29" s="181">
        <v>253994</v>
      </c>
      <c r="H29" s="181">
        <v>444313</v>
      </c>
      <c r="I29" s="21">
        <f>AVERAGE(D29:H29)</f>
        <v>362508.75</v>
      </c>
      <c r="J29" s="207">
        <v>125199.47500000001</v>
      </c>
      <c r="K29" s="207">
        <v>473950.5</v>
      </c>
      <c r="L29" s="242">
        <v>466059.6</v>
      </c>
      <c r="M29" s="207">
        <v>400000</v>
      </c>
      <c r="N29" s="207">
        <v>200000</v>
      </c>
      <c r="O29" s="52"/>
      <c r="P29" s="66">
        <v>233217</v>
      </c>
      <c r="Q29" s="66">
        <v>233217</v>
      </c>
      <c r="R29" s="66"/>
      <c r="S29" s="66"/>
      <c r="T29" s="238"/>
      <c r="U29" s="118">
        <f>AVERAGE(P29:T29)</f>
        <v>233217</v>
      </c>
      <c r="V29" s="72"/>
      <c r="W29" s="168" t="s">
        <v>32</v>
      </c>
      <c r="X29" s="46"/>
      <c r="Y29" s="64"/>
      <c r="Z29" s="147"/>
      <c r="AA29" s="138"/>
      <c r="AB29" s="8"/>
      <c r="AC29" s="2"/>
      <c r="AD29" s="1"/>
      <c r="AE29" s="1"/>
      <c r="AF29" s="1"/>
    </row>
    <row r="30" spans="1:32">
      <c r="A30" s="391"/>
      <c r="B30" s="18" t="s">
        <v>65</v>
      </c>
      <c r="C30" s="27">
        <v>569100</v>
      </c>
      <c r="D30" s="27">
        <v>293568</v>
      </c>
      <c r="E30" s="28">
        <v>447392</v>
      </c>
      <c r="F30" s="10" t="s">
        <v>66</v>
      </c>
      <c r="G30" s="181">
        <v>278499</v>
      </c>
      <c r="H30" s="181">
        <v>444313</v>
      </c>
      <c r="I30" s="21">
        <f>AVERAGE(D30:H30)</f>
        <v>365943</v>
      </c>
      <c r="J30" s="207">
        <v>147293.5</v>
      </c>
      <c r="K30" s="207">
        <v>498895</v>
      </c>
      <c r="L30" s="242">
        <v>490119.2</v>
      </c>
      <c r="M30" s="207">
        <v>489004</v>
      </c>
      <c r="N30" s="207">
        <v>317188</v>
      </c>
      <c r="O30" s="52"/>
      <c r="P30" s="66">
        <v>642600</v>
      </c>
      <c r="Q30" s="66">
        <v>642600</v>
      </c>
      <c r="R30" s="66"/>
      <c r="S30" s="66"/>
      <c r="T30" s="238"/>
      <c r="U30" s="118">
        <f>AVERAGE(P30:T30)</f>
        <v>642600</v>
      </c>
      <c r="V30" s="72"/>
      <c r="W30" s="168"/>
      <c r="X30" s="46"/>
      <c r="Y30" s="21">
        <v>278499</v>
      </c>
      <c r="Z30" s="147" t="s">
        <v>67</v>
      </c>
      <c r="AA30" s="138"/>
      <c r="AB30" s="8"/>
      <c r="AC30" s="2"/>
      <c r="AD30" s="1"/>
      <c r="AE30" s="1"/>
      <c r="AF30" s="1"/>
    </row>
    <row r="31" spans="1:32">
      <c r="A31" s="391"/>
      <c r="B31" s="18" t="s">
        <v>68</v>
      </c>
      <c r="C31" s="30">
        <v>0.47996837111228258</v>
      </c>
      <c r="D31" s="30">
        <f t="shared" ref="D31:E31" si="3">D29/D30</f>
        <v>1</v>
      </c>
      <c r="E31" s="30">
        <f t="shared" si="3"/>
        <v>1.0240683785136973</v>
      </c>
      <c r="F31" s="17">
        <v>0.98</v>
      </c>
      <c r="G31" s="185">
        <v>0.91201045605190689</v>
      </c>
      <c r="H31" s="185">
        <v>1</v>
      </c>
      <c r="I31" s="208">
        <f>AVERAGE(D31:H31)</f>
        <v>0.98321576691312096</v>
      </c>
      <c r="J31" s="185">
        <v>0.85</v>
      </c>
      <c r="K31" s="185">
        <v>0.95</v>
      </c>
      <c r="L31" s="243">
        <v>0.95090873866301617</v>
      </c>
      <c r="M31" s="185">
        <v>0.81798921890209486</v>
      </c>
      <c r="N31" s="185">
        <v>0.63054087796511848</v>
      </c>
      <c r="O31" s="51"/>
      <c r="P31" s="67">
        <f>P29/P30</f>
        <v>0.36292717086834736</v>
      </c>
      <c r="Q31" s="67">
        <f>Q29/Q30</f>
        <v>0.36292717086834736</v>
      </c>
      <c r="R31" s="67" t="e">
        <f>R29/R30</f>
        <v>#DIV/0!</v>
      </c>
      <c r="S31" s="67" t="e">
        <f>S29/S30</f>
        <v>#DIV/0!</v>
      </c>
      <c r="T31" s="67"/>
      <c r="U31" s="127" t="e">
        <f>AVERAGE(P31:T31)</f>
        <v>#DIV/0!</v>
      </c>
      <c r="V31" s="46"/>
      <c r="W31" s="168" t="s">
        <v>32</v>
      </c>
      <c r="X31" s="46"/>
      <c r="Y31" s="78"/>
      <c r="Z31" s="148"/>
      <c r="AA31" s="138"/>
      <c r="AB31" s="8"/>
      <c r="AC31" s="1"/>
      <c r="AD31" s="1"/>
      <c r="AE31" s="1"/>
      <c r="AF31" s="1"/>
    </row>
    <row r="32" spans="1:32">
      <c r="A32" s="391"/>
      <c r="B32" s="13"/>
      <c r="C32" s="13"/>
      <c r="D32" s="13"/>
      <c r="E32" s="13"/>
      <c r="F32" s="12"/>
      <c r="G32" s="12"/>
      <c r="H32" s="12"/>
      <c r="I32" s="12"/>
      <c r="J32" s="12"/>
      <c r="K32" s="12"/>
      <c r="L32" s="12"/>
      <c r="M32" s="12"/>
      <c r="N32" s="12"/>
      <c r="O32" s="49"/>
      <c r="P32" s="11"/>
      <c r="Q32" s="11"/>
      <c r="R32" s="11"/>
      <c r="S32" s="11"/>
      <c r="T32" s="11"/>
      <c r="U32" s="117"/>
      <c r="V32" s="72"/>
      <c r="W32" s="14"/>
      <c r="X32" s="46"/>
      <c r="Y32" s="1"/>
      <c r="Z32" s="13"/>
      <c r="AA32" s="138"/>
      <c r="AB32" s="8"/>
      <c r="AC32" s="2"/>
      <c r="AD32" s="1"/>
      <c r="AE32" s="1"/>
      <c r="AF32" s="1"/>
    </row>
    <row r="33" spans="1:32">
      <c r="A33" s="391"/>
      <c r="B33" s="9" t="s">
        <v>69</v>
      </c>
      <c r="C33" s="15">
        <v>219518</v>
      </c>
      <c r="D33" s="15">
        <v>123555</v>
      </c>
      <c r="E33" s="32">
        <v>261076</v>
      </c>
      <c r="F33" s="10" t="s">
        <v>70</v>
      </c>
      <c r="G33" s="15">
        <f>AVERAGE(B33:F33)</f>
        <v>201383</v>
      </c>
      <c r="H33" s="15">
        <v>125270.8</v>
      </c>
      <c r="I33" s="181">
        <v>76434.5</v>
      </c>
      <c r="J33" s="181">
        <v>42648.5</v>
      </c>
      <c r="K33" s="181">
        <v>80177</v>
      </c>
      <c r="L33" s="181">
        <v>111277.8</v>
      </c>
      <c r="M33" s="15">
        <v>336773</v>
      </c>
      <c r="N33" s="181">
        <v>67909</v>
      </c>
      <c r="O33" s="49"/>
      <c r="P33" s="62">
        <v>10074</v>
      </c>
      <c r="Q33" s="104">
        <v>25587</v>
      </c>
      <c r="R33" s="104"/>
      <c r="S33" s="66"/>
      <c r="T33" s="129"/>
      <c r="U33" s="116">
        <f>SUM(P33:T33)</f>
        <v>35661</v>
      </c>
      <c r="V33" s="72"/>
      <c r="W33" s="168" t="s">
        <v>32</v>
      </c>
      <c r="X33" s="46"/>
      <c r="Y33" s="22" t="s">
        <v>60</v>
      </c>
      <c r="Z33" s="147"/>
      <c r="AA33" s="138"/>
      <c r="AB33" s="8"/>
      <c r="AC33" s="2"/>
      <c r="AD33" s="1"/>
      <c r="AE33" s="1"/>
      <c r="AF33" s="1"/>
    </row>
    <row r="34" spans="1:32">
      <c r="A34" s="391"/>
      <c r="B34" s="9" t="s">
        <v>71</v>
      </c>
      <c r="C34" s="17">
        <v>9.6432085749428922E-2</v>
      </c>
      <c r="D34" s="17">
        <v>0.42</v>
      </c>
      <c r="E34" s="33">
        <v>0.57999999999999996</v>
      </c>
      <c r="F34" s="10" t="e">
        <v>#DIV/0!</v>
      </c>
      <c r="G34" s="17" t="e">
        <f>AVERAGE(B34:F34)</f>
        <v>#DIV/0!</v>
      </c>
      <c r="H34" s="17">
        <v>0.28194268454895532</v>
      </c>
      <c r="I34" s="182">
        <v>0.26357292183021186</v>
      </c>
      <c r="J34" s="182">
        <v>0.28954636319810195</v>
      </c>
      <c r="K34" s="182">
        <v>0.16</v>
      </c>
      <c r="L34" s="182">
        <v>0.22707902380954464</v>
      </c>
      <c r="M34" s="17">
        <v>0.17217292701082199</v>
      </c>
      <c r="N34" s="182">
        <v>0.10704850120433307</v>
      </c>
      <c r="O34" s="49"/>
      <c r="P34" s="65">
        <f>P33/P30</f>
        <v>1.5676937441643325E-2</v>
      </c>
      <c r="Q34" s="65">
        <f>Q33/Q30</f>
        <v>3.981792717086835E-2</v>
      </c>
      <c r="R34" s="65" t="e">
        <f>R33/R30</f>
        <v>#DIV/0!</v>
      </c>
      <c r="S34" s="65" t="e">
        <f>S33/S30</f>
        <v>#DIV/0!</v>
      </c>
      <c r="T34" s="65"/>
      <c r="U34" s="115" t="e">
        <f>AVERAGE(P34:T34)</f>
        <v>#DIV/0!</v>
      </c>
      <c r="V34" s="72"/>
      <c r="W34" s="168" t="s">
        <v>32</v>
      </c>
      <c r="X34" s="46"/>
      <c r="Y34" s="64"/>
      <c r="Z34" s="147"/>
      <c r="AA34" s="138"/>
      <c r="AB34" s="8"/>
      <c r="AC34" s="2"/>
      <c r="AD34" s="1"/>
      <c r="AE34" s="1"/>
      <c r="AF34" s="1"/>
    </row>
    <row r="35" spans="1:32">
      <c r="A35" s="391"/>
      <c r="B35" s="9" t="s">
        <v>72</v>
      </c>
      <c r="C35" s="162">
        <v>21.5</v>
      </c>
      <c r="D35" s="10">
        <v>39</v>
      </c>
      <c r="E35" s="164">
        <v>63.75</v>
      </c>
      <c r="F35" s="10">
        <v>28</v>
      </c>
      <c r="G35" s="162">
        <f>AVERAGE(B35:F35)</f>
        <v>38.0625</v>
      </c>
      <c r="H35" s="162">
        <v>15.75</v>
      </c>
      <c r="I35" s="180">
        <v>27.5</v>
      </c>
      <c r="J35" s="180">
        <v>11.25</v>
      </c>
      <c r="K35" s="26">
        <v>37</v>
      </c>
      <c r="L35" s="180">
        <v>35.200000000000003</v>
      </c>
      <c r="M35" s="162">
        <v>34.666666666666664</v>
      </c>
      <c r="N35" s="26">
        <v>16</v>
      </c>
      <c r="O35" s="49"/>
      <c r="P35" s="60">
        <v>14</v>
      </c>
      <c r="Q35" s="60">
        <v>19</v>
      </c>
      <c r="R35" s="60"/>
      <c r="S35" s="60"/>
      <c r="T35" s="60"/>
      <c r="U35" s="123">
        <f>AVERAGE(P35:T35)</f>
        <v>16.5</v>
      </c>
      <c r="V35" s="72"/>
      <c r="W35" s="75"/>
      <c r="X35" s="46"/>
      <c r="Y35" s="64"/>
      <c r="Z35" s="147"/>
      <c r="AA35" s="138"/>
      <c r="AB35" s="8"/>
      <c r="AC35" s="2"/>
      <c r="AD35" s="1"/>
      <c r="AE35" s="1"/>
      <c r="AF35" s="1"/>
    </row>
    <row r="36" spans="1:32">
      <c r="A36" s="391"/>
      <c r="B36" s="9" t="s">
        <v>73</v>
      </c>
      <c r="C36" s="15">
        <v>1991.8780350438049</v>
      </c>
      <c r="D36" s="15">
        <v>3209</v>
      </c>
      <c r="E36" s="15">
        <v>4095</v>
      </c>
      <c r="F36" s="10" t="s">
        <v>74</v>
      </c>
      <c r="G36" s="15">
        <f>AVERAGE(B36:F36)</f>
        <v>3098.6260116812682</v>
      </c>
      <c r="H36" s="15">
        <v>2994.6138888888891</v>
      </c>
      <c r="I36" s="181">
        <v>2278.0645833333333</v>
      </c>
      <c r="J36" s="181">
        <v>4424.2882936507931</v>
      </c>
      <c r="K36" s="181">
        <v>2153.4844666314798</v>
      </c>
      <c r="L36" s="181">
        <v>2579.0264441110276</v>
      </c>
      <c r="M36" s="15">
        <v>1894.1495098039215</v>
      </c>
      <c r="N36" s="181">
        <v>2008.1194331983806</v>
      </c>
      <c r="O36" s="49"/>
      <c r="P36" s="102">
        <f>P33/P35</f>
        <v>719.57142857142856</v>
      </c>
      <c r="Q36" s="102">
        <f>Q33/Q35</f>
        <v>1346.6842105263158</v>
      </c>
      <c r="R36" s="102" t="e">
        <f>R33/R35</f>
        <v>#DIV/0!</v>
      </c>
      <c r="S36" s="102" t="e">
        <f>S33/S35</f>
        <v>#DIV/0!</v>
      </c>
      <c r="T36" s="102"/>
      <c r="U36" s="116" t="e">
        <f>AVERAGE(P36:T36)</f>
        <v>#DIV/0!</v>
      </c>
      <c r="V36" s="72"/>
      <c r="W36" s="75" t="s">
        <v>40</v>
      </c>
      <c r="X36" s="46"/>
      <c r="Y36" s="21">
        <v>2000</v>
      </c>
      <c r="Z36" s="146">
        <v>3000</v>
      </c>
      <c r="AA36" s="138"/>
      <c r="AB36" s="8"/>
      <c r="AC36" s="2"/>
      <c r="AD36" s="1"/>
      <c r="AE36" s="1"/>
      <c r="AF36" s="1"/>
    </row>
    <row r="37" spans="1:32">
      <c r="A37" s="5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46"/>
      <c r="P37" s="11"/>
      <c r="Q37" s="11"/>
      <c r="R37" s="11"/>
      <c r="S37" s="11"/>
      <c r="T37" s="11"/>
      <c r="U37" s="120"/>
      <c r="V37" s="72"/>
      <c r="W37" s="7"/>
      <c r="X37" s="46"/>
      <c r="Y37" s="1"/>
      <c r="Z37" s="1"/>
      <c r="AA37" s="138"/>
      <c r="AB37" s="1"/>
      <c r="AC37" s="2"/>
      <c r="AD37" s="1"/>
      <c r="AE37" s="1"/>
      <c r="AF37" s="1"/>
    </row>
    <row r="38" spans="1:32" hidden="1">
      <c r="A38" s="391" t="s">
        <v>75</v>
      </c>
      <c r="B38" s="9" t="s">
        <v>76</v>
      </c>
      <c r="C38" s="10">
        <v>725.59199999999998</v>
      </c>
      <c r="D38" s="10">
        <v>714</v>
      </c>
      <c r="E38" s="10">
        <v>707</v>
      </c>
      <c r="F38" s="26">
        <v>227</v>
      </c>
      <c r="G38" s="26"/>
      <c r="H38" s="26"/>
      <c r="I38" s="26"/>
      <c r="J38" s="26"/>
      <c r="K38" s="26"/>
      <c r="L38" s="26"/>
      <c r="M38" s="26"/>
      <c r="N38" s="26"/>
      <c r="O38" s="49"/>
      <c r="P38" s="63">
        <v>393</v>
      </c>
      <c r="Q38" s="63">
        <v>178</v>
      </c>
      <c r="R38" s="63">
        <v>195</v>
      </c>
      <c r="S38" s="63">
        <v>495</v>
      </c>
      <c r="T38" s="63"/>
      <c r="U38" s="128">
        <f>AVERAGE(P38:T38)</f>
        <v>315.25</v>
      </c>
      <c r="V38" s="72"/>
      <c r="W38" s="75"/>
      <c r="X38" s="46"/>
      <c r="Y38" s="68">
        <v>525</v>
      </c>
      <c r="Z38" s="149">
        <v>875</v>
      </c>
      <c r="AA38" s="138"/>
      <c r="AB38" s="390"/>
      <c r="AC38" s="35"/>
      <c r="AD38" s="1"/>
      <c r="AE38" s="1"/>
      <c r="AF38" s="1"/>
    </row>
    <row r="39" spans="1:32" hidden="1">
      <c r="A39" s="391"/>
      <c r="B39" s="9" t="s">
        <v>77</v>
      </c>
      <c r="C39" s="10">
        <v>36</v>
      </c>
      <c r="D39" s="10">
        <v>25</v>
      </c>
      <c r="E39" s="10">
        <v>31</v>
      </c>
      <c r="F39" s="26">
        <v>7</v>
      </c>
      <c r="G39" s="180">
        <v>9.75</v>
      </c>
      <c r="H39" s="180">
        <v>35.25</v>
      </c>
      <c r="I39" s="26">
        <v>16</v>
      </c>
      <c r="J39" s="183">
        <v>2</v>
      </c>
      <c r="K39" s="180">
        <v>41.75</v>
      </c>
      <c r="L39" s="26">
        <v>32.200000000000003</v>
      </c>
      <c r="M39" s="180">
        <v>8.6666666666666661</v>
      </c>
      <c r="N39" s="180">
        <v>6.5</v>
      </c>
      <c r="O39" s="49"/>
      <c r="P39" s="63"/>
      <c r="Q39" s="63"/>
      <c r="R39" s="63"/>
      <c r="S39" s="63"/>
      <c r="T39" s="63"/>
      <c r="U39" s="128" t="e">
        <f>AVERAGE(P39:T39)</f>
        <v>#DIV/0!</v>
      </c>
      <c r="V39" s="72"/>
      <c r="W39" s="76" t="s">
        <v>45</v>
      </c>
      <c r="X39" s="46"/>
      <c r="Y39" s="22">
        <v>33</v>
      </c>
      <c r="Z39" s="147">
        <v>68</v>
      </c>
      <c r="AA39" s="138"/>
      <c r="AB39" s="390"/>
      <c r="AC39" s="2"/>
      <c r="AD39" s="1"/>
      <c r="AE39" s="1"/>
      <c r="AF39" s="1"/>
    </row>
    <row r="40" spans="1:32" hidden="1">
      <c r="A40" s="391"/>
      <c r="B40" s="9" t="s">
        <v>78</v>
      </c>
      <c r="C40" s="15">
        <v>83870</v>
      </c>
      <c r="D40" s="15">
        <v>77318</v>
      </c>
      <c r="E40" s="15">
        <v>107530</v>
      </c>
      <c r="F40" s="26" t="s">
        <v>79</v>
      </c>
      <c r="G40" s="181">
        <v>71006.75</v>
      </c>
      <c r="H40" s="181">
        <v>75718.5</v>
      </c>
      <c r="I40" s="181">
        <v>45032.75</v>
      </c>
      <c r="J40" s="184">
        <v>17450</v>
      </c>
      <c r="K40" s="181">
        <v>145725.75</v>
      </c>
      <c r="L40" s="181">
        <v>109379.4</v>
      </c>
      <c r="M40" s="181">
        <v>126129.33333333333</v>
      </c>
      <c r="N40" s="181">
        <v>51129</v>
      </c>
      <c r="O40" s="49"/>
      <c r="P40" s="129">
        <v>0</v>
      </c>
      <c r="Q40" s="129"/>
      <c r="R40" s="129"/>
      <c r="S40" s="129"/>
      <c r="T40" s="129"/>
      <c r="U40" s="130">
        <f>AVERAGE(P40:T40)</f>
        <v>0</v>
      </c>
      <c r="V40" s="72"/>
      <c r="W40" s="75" t="s">
        <v>40</v>
      </c>
      <c r="X40" s="46"/>
      <c r="Y40" s="21">
        <v>127794</v>
      </c>
      <c r="Z40" s="146">
        <v>191691</v>
      </c>
      <c r="AA40" s="138"/>
      <c r="AB40" s="390"/>
      <c r="AC40" s="2"/>
      <c r="AD40" s="1"/>
      <c r="AE40" s="1"/>
      <c r="AF40" s="1"/>
    </row>
    <row r="41" spans="1:32" hidden="1">
      <c r="A41" s="391"/>
      <c r="B41" s="9" t="s">
        <v>80</v>
      </c>
      <c r="C41" s="15">
        <v>43753</v>
      </c>
      <c r="D41" s="15">
        <v>67397</v>
      </c>
      <c r="E41" s="15">
        <v>49756</v>
      </c>
      <c r="F41" s="26" t="s">
        <v>81</v>
      </c>
      <c r="G41" s="181">
        <v>31660</v>
      </c>
      <c r="H41" s="181">
        <v>4655.2449999999999</v>
      </c>
      <c r="I41" s="181">
        <v>21817.5</v>
      </c>
      <c r="J41" s="184">
        <v>3166</v>
      </c>
      <c r="K41" s="181">
        <v>19180.5</v>
      </c>
      <c r="L41" s="181">
        <v>7357.8</v>
      </c>
      <c r="M41" s="181">
        <v>1036.3333333333333</v>
      </c>
      <c r="N41" s="181">
        <v>0</v>
      </c>
      <c r="O41" s="49"/>
      <c r="P41" s="103">
        <v>0</v>
      </c>
      <c r="Q41" s="66">
        <v>0</v>
      </c>
      <c r="R41" s="66"/>
      <c r="S41" s="129"/>
      <c r="T41" s="129"/>
      <c r="U41" s="130">
        <f>AVERAGE(P41:T41)</f>
        <v>0</v>
      </c>
      <c r="V41" s="72"/>
      <c r="W41" s="75" t="s">
        <v>40</v>
      </c>
      <c r="X41" s="46"/>
      <c r="Y41" s="21">
        <v>100000</v>
      </c>
      <c r="Z41" s="146">
        <v>150000</v>
      </c>
      <c r="AA41" s="138"/>
      <c r="AB41" s="390"/>
      <c r="AC41" s="2"/>
      <c r="AD41" s="1"/>
      <c r="AE41" s="1"/>
      <c r="AF41" s="1"/>
    </row>
    <row r="42" spans="1:32" hidden="1">
      <c r="A42" s="391"/>
      <c r="B42" s="9" t="s">
        <v>82</v>
      </c>
      <c r="C42" s="15">
        <v>135555</v>
      </c>
      <c r="D42" s="15">
        <v>67397</v>
      </c>
      <c r="E42" s="15">
        <v>101781</v>
      </c>
      <c r="F42" s="26" t="s">
        <v>83</v>
      </c>
      <c r="G42" s="181">
        <v>102355.5</v>
      </c>
      <c r="H42" s="181">
        <v>111078.25</v>
      </c>
      <c r="I42" s="181">
        <v>58629.4</v>
      </c>
      <c r="J42" s="184">
        <v>29458.7</v>
      </c>
      <c r="K42" s="181">
        <v>99779</v>
      </c>
      <c r="L42" s="181">
        <v>122529.8</v>
      </c>
      <c r="M42" s="181">
        <v>97800.8</v>
      </c>
      <c r="N42" s="181">
        <v>31718.799999999999</v>
      </c>
      <c r="O42" s="49"/>
      <c r="P42" s="66">
        <f>P30*0.25</f>
        <v>160650</v>
      </c>
      <c r="Q42" s="66">
        <f>Q30*0.25</f>
        <v>160650</v>
      </c>
      <c r="R42" s="66">
        <f>R30*0.25</f>
        <v>0</v>
      </c>
      <c r="S42" s="66">
        <f>S30*0.25</f>
        <v>0</v>
      </c>
      <c r="T42" s="66">
        <f>T30*0.25</f>
        <v>0</v>
      </c>
      <c r="U42" s="130">
        <f>AVERAGE(P42:T42)</f>
        <v>64260</v>
      </c>
      <c r="V42" s="72"/>
      <c r="W42" s="75" t="s">
        <v>40</v>
      </c>
      <c r="X42" s="46"/>
      <c r="Y42" s="21">
        <v>63897</v>
      </c>
      <c r="Z42" s="147"/>
      <c r="AA42" s="138"/>
      <c r="AB42" s="390"/>
      <c r="AC42" s="2"/>
      <c r="AD42" s="1"/>
      <c r="AE42" s="1"/>
      <c r="AF42" s="1"/>
    </row>
    <row r="43" spans="1:32" hidden="1">
      <c r="A43" s="5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46"/>
      <c r="P43" s="11"/>
      <c r="Q43" s="11"/>
      <c r="R43" s="11"/>
      <c r="S43" s="11"/>
      <c r="T43" s="11"/>
      <c r="U43" s="120"/>
      <c r="V43" s="72"/>
      <c r="W43" s="7"/>
      <c r="X43" s="46"/>
      <c r="Y43" s="1"/>
      <c r="Z43" s="1"/>
      <c r="AA43" s="138"/>
      <c r="AB43" s="1"/>
      <c r="AC43" s="2"/>
      <c r="AD43" s="1"/>
      <c r="AE43" s="1"/>
      <c r="AF43" s="1"/>
    </row>
    <row r="44" spans="1:32" ht="15">
      <c r="A44" s="391" t="s">
        <v>84</v>
      </c>
      <c r="B44" s="36" t="s">
        <v>85</v>
      </c>
      <c r="C44" s="183">
        <v>163.75</v>
      </c>
      <c r="D44" s="22">
        <v>164</v>
      </c>
      <c r="E44" s="22">
        <v>91</v>
      </c>
      <c r="F44" s="22">
        <v>1031</v>
      </c>
      <c r="G44" s="183">
        <v>339.25</v>
      </c>
      <c r="H44" s="183">
        <v>291.75</v>
      </c>
      <c r="I44" s="22">
        <v>87</v>
      </c>
      <c r="J44" s="183">
        <v>44.25</v>
      </c>
      <c r="K44" s="183">
        <v>166.5</v>
      </c>
      <c r="L44" s="22">
        <v>198.6</v>
      </c>
      <c r="M44" s="183">
        <v>188</v>
      </c>
      <c r="N44" s="22">
        <v>144</v>
      </c>
      <c r="O44" s="50"/>
      <c r="P44" s="64">
        <v>124</v>
      </c>
      <c r="Q44" s="63">
        <v>306</v>
      </c>
      <c r="R44" s="63"/>
      <c r="S44" s="63"/>
      <c r="T44" s="63"/>
      <c r="U44" s="128">
        <f t="shared" ref="U44:U49" si="4">AVERAGE(P44:T44)</f>
        <v>215</v>
      </c>
      <c r="V44" s="72"/>
      <c r="W44" s="76" t="s">
        <v>86</v>
      </c>
      <c r="X44" s="46"/>
      <c r="Y44" s="22">
        <v>300</v>
      </c>
      <c r="Z44" s="147">
        <v>350</v>
      </c>
      <c r="AA44" s="326" t="s">
        <v>87</v>
      </c>
      <c r="AB44" s="8" t="s">
        <v>88</v>
      </c>
      <c r="AC44" s="2"/>
      <c r="AD44" s="1"/>
      <c r="AE44" s="1"/>
      <c r="AF44" s="1"/>
    </row>
    <row r="45" spans="1:32" ht="28.35" customHeight="1">
      <c r="A45" s="391"/>
      <c r="B45" s="36" t="s">
        <v>89</v>
      </c>
      <c r="C45" s="37">
        <v>-0.45</v>
      </c>
      <c r="D45" s="37">
        <v>0.15</v>
      </c>
      <c r="E45" s="37">
        <v>0.18</v>
      </c>
      <c r="F45" s="37">
        <v>0.16</v>
      </c>
      <c r="G45" s="37">
        <v>0.12</v>
      </c>
      <c r="H45" s="37">
        <v>0.15</v>
      </c>
      <c r="I45" s="37">
        <v>0.16</v>
      </c>
      <c r="J45" s="37">
        <v>0.15</v>
      </c>
      <c r="K45" s="37">
        <v>0.12</v>
      </c>
      <c r="L45" s="37">
        <v>0.27</v>
      </c>
      <c r="M45" s="37"/>
      <c r="N45" s="37">
        <v>-0.23</v>
      </c>
      <c r="O45" s="50"/>
      <c r="P45" s="67">
        <v>-0.18</v>
      </c>
      <c r="Q45" s="67">
        <v>-0.18</v>
      </c>
      <c r="R45" s="67"/>
      <c r="S45" s="67"/>
      <c r="T45" s="67">
        <v>0</v>
      </c>
      <c r="U45" s="131">
        <f>AVERAGE(P45:S45)</f>
        <v>-0.18</v>
      </c>
      <c r="V45" s="72"/>
      <c r="W45" s="76" t="s">
        <v>86</v>
      </c>
      <c r="X45" s="72"/>
      <c r="Y45" s="37">
        <v>0.15</v>
      </c>
      <c r="Z45" s="150">
        <v>0.2</v>
      </c>
      <c r="AA45" s="326" t="s">
        <v>90</v>
      </c>
      <c r="AB45" s="346" t="s">
        <v>91</v>
      </c>
      <c r="AC45" s="2"/>
      <c r="AD45" s="1"/>
      <c r="AE45" s="1"/>
      <c r="AF45" s="1"/>
    </row>
    <row r="46" spans="1:32" ht="15">
      <c r="A46" s="391"/>
      <c r="B46" s="36" t="s">
        <v>92</v>
      </c>
      <c r="C46" s="183">
        <v>30.25</v>
      </c>
      <c r="D46" s="22">
        <v>66</v>
      </c>
      <c r="E46" s="22">
        <v>52</v>
      </c>
      <c r="F46" s="22">
        <v>96</v>
      </c>
      <c r="G46" s="183">
        <v>12.25</v>
      </c>
      <c r="H46" s="183">
        <v>11.75</v>
      </c>
      <c r="I46" s="183">
        <v>10.8</v>
      </c>
      <c r="J46" s="183">
        <v>2.75</v>
      </c>
      <c r="K46" s="183">
        <v>11</v>
      </c>
      <c r="L46" s="183">
        <v>110</v>
      </c>
      <c r="M46" s="183">
        <v>118</v>
      </c>
      <c r="N46" s="22">
        <v>26</v>
      </c>
      <c r="O46" s="50"/>
      <c r="P46" s="63">
        <v>44</v>
      </c>
      <c r="Q46" s="64">
        <v>34</v>
      </c>
      <c r="R46" s="63"/>
      <c r="S46" s="63"/>
      <c r="T46" s="63"/>
      <c r="U46" s="128">
        <f t="shared" si="4"/>
        <v>39</v>
      </c>
      <c r="V46" s="72"/>
      <c r="W46" s="76" t="s">
        <v>93</v>
      </c>
      <c r="X46" s="72"/>
      <c r="Y46" s="22">
        <v>15</v>
      </c>
      <c r="Z46" s="147">
        <v>10</v>
      </c>
      <c r="AA46" s="326" t="s">
        <v>90</v>
      </c>
      <c r="AB46" s="8" t="s">
        <v>94</v>
      </c>
      <c r="AC46" s="2"/>
      <c r="AD46" s="1"/>
      <c r="AE46" s="1"/>
      <c r="AF46" s="1"/>
    </row>
    <row r="47" spans="1:32" ht="15">
      <c r="A47" s="391"/>
      <c r="B47" s="36" t="s">
        <v>95</v>
      </c>
      <c r="C47" s="21">
        <v>139469</v>
      </c>
      <c r="D47" s="21">
        <v>83505</v>
      </c>
      <c r="E47" s="21">
        <v>64800</v>
      </c>
      <c r="F47" s="22" t="s">
        <v>96</v>
      </c>
      <c r="G47" s="21">
        <v>18250</v>
      </c>
      <c r="H47" s="21">
        <v>13375</v>
      </c>
      <c r="I47" s="184">
        <v>14302.2</v>
      </c>
      <c r="J47" s="184">
        <v>3450</v>
      </c>
      <c r="K47" s="21">
        <v>20594.75</v>
      </c>
      <c r="L47" s="184"/>
      <c r="M47" s="21"/>
      <c r="N47" s="184"/>
      <c r="O47" s="50"/>
      <c r="P47" s="132">
        <v>48000</v>
      </c>
      <c r="Q47" s="66">
        <v>43000</v>
      </c>
      <c r="R47" s="66"/>
      <c r="S47" s="66"/>
      <c r="T47" s="66"/>
      <c r="U47" s="118">
        <f>SUM(P47:T47)</f>
        <v>91000</v>
      </c>
      <c r="V47" s="72"/>
      <c r="W47" s="76" t="s">
        <v>86</v>
      </c>
      <c r="X47" s="72"/>
      <c r="Y47" s="39">
        <v>15000</v>
      </c>
      <c r="Z47" s="151">
        <v>12000</v>
      </c>
      <c r="AA47" s="326" t="s">
        <v>90</v>
      </c>
      <c r="AB47" s="346" t="s">
        <v>97</v>
      </c>
      <c r="AC47" s="2"/>
      <c r="AD47" s="1"/>
      <c r="AE47" s="1"/>
      <c r="AF47" s="1"/>
    </row>
    <row r="48" spans="1:32" ht="29.1">
      <c r="A48" s="391"/>
      <c r="B48" s="36" t="s">
        <v>98</v>
      </c>
      <c r="C48" s="183">
        <v>128.75</v>
      </c>
      <c r="D48" s="22">
        <v>4</v>
      </c>
      <c r="E48" s="22">
        <v>52</v>
      </c>
      <c r="F48" s="22">
        <v>71</v>
      </c>
      <c r="G48" s="183">
        <v>177.75</v>
      </c>
      <c r="H48" s="183">
        <v>276</v>
      </c>
      <c r="I48" s="183">
        <v>207.8</v>
      </c>
      <c r="J48" s="183">
        <v>65.75</v>
      </c>
      <c r="K48" s="183">
        <v>166.75</v>
      </c>
      <c r="L48" s="183">
        <v>217.4</v>
      </c>
      <c r="M48" s="183">
        <v>216</v>
      </c>
      <c r="N48" s="22">
        <v>301</v>
      </c>
      <c r="O48" s="50"/>
      <c r="P48" s="63">
        <v>166</v>
      </c>
      <c r="Q48" s="63">
        <v>267</v>
      </c>
      <c r="R48" s="64"/>
      <c r="S48" s="63"/>
      <c r="T48" s="63"/>
      <c r="U48" s="128">
        <f t="shared" si="4"/>
        <v>216.5</v>
      </c>
      <c r="V48" s="72"/>
      <c r="W48" s="75" t="s">
        <v>40</v>
      </c>
      <c r="X48" s="72"/>
      <c r="Y48" s="22">
        <v>100</v>
      </c>
      <c r="Z48" s="147">
        <v>150</v>
      </c>
      <c r="AA48" s="326" t="s">
        <v>87</v>
      </c>
      <c r="AB48" s="8" t="s">
        <v>99</v>
      </c>
      <c r="AC48" s="2"/>
      <c r="AD48" s="1"/>
      <c r="AE48" s="1"/>
      <c r="AF48" s="1"/>
    </row>
    <row r="49" spans="1:34" ht="29.1">
      <c r="A49" s="391"/>
      <c r="B49" s="36" t="s">
        <v>100</v>
      </c>
      <c r="C49" s="183">
        <v>2.2499999999999999E-2</v>
      </c>
      <c r="D49" s="22">
        <v>0</v>
      </c>
      <c r="E49" s="22"/>
      <c r="F49" s="22">
        <v>19</v>
      </c>
      <c r="G49" s="183">
        <v>12.5</v>
      </c>
      <c r="H49" s="183">
        <v>0</v>
      </c>
      <c r="I49" s="22">
        <v>0</v>
      </c>
      <c r="J49" s="183">
        <v>0</v>
      </c>
      <c r="K49" s="183">
        <v>0</v>
      </c>
      <c r="L49" s="22">
        <v>0</v>
      </c>
      <c r="M49" s="183">
        <v>0</v>
      </c>
      <c r="N49" s="22">
        <v>0</v>
      </c>
      <c r="O49" s="50"/>
      <c r="P49" s="67">
        <v>0.03</v>
      </c>
      <c r="Q49" s="67">
        <v>0.03</v>
      </c>
      <c r="R49" s="220"/>
      <c r="S49" s="67"/>
      <c r="T49" s="63"/>
      <c r="U49" s="128">
        <f t="shared" si="4"/>
        <v>0.03</v>
      </c>
      <c r="V49" s="72"/>
      <c r="W49" s="76"/>
      <c r="X49" s="72"/>
      <c r="Y49" s="22">
        <v>3</v>
      </c>
      <c r="Z49" s="147">
        <v>6</v>
      </c>
      <c r="AA49" s="326" t="s">
        <v>101</v>
      </c>
      <c r="AB49" s="8" t="s">
        <v>102</v>
      </c>
      <c r="AC49" s="2"/>
      <c r="AD49" s="1"/>
      <c r="AE49" s="1"/>
      <c r="AF49" s="1"/>
    </row>
    <row r="50" spans="1:34" ht="15">
      <c r="A50" s="391"/>
      <c r="B50" s="36" t="s">
        <v>103</v>
      </c>
      <c r="C50" s="183">
        <v>8</v>
      </c>
      <c r="D50" s="22">
        <v>4</v>
      </c>
      <c r="E50" s="22">
        <v>10</v>
      </c>
      <c r="F50" s="22">
        <v>12</v>
      </c>
      <c r="G50" s="183">
        <v>3.25</v>
      </c>
      <c r="H50" s="183">
        <v>7</v>
      </c>
      <c r="I50" s="183">
        <v>6.6</v>
      </c>
      <c r="J50" s="183">
        <v>0</v>
      </c>
      <c r="K50" s="183">
        <v>8</v>
      </c>
      <c r="L50" s="183">
        <v>7.2</v>
      </c>
      <c r="M50" s="183">
        <v>7</v>
      </c>
      <c r="N50" s="22">
        <v>7</v>
      </c>
      <c r="O50" s="50"/>
      <c r="P50" s="63">
        <v>12</v>
      </c>
      <c r="Q50" s="63">
        <v>5</v>
      </c>
      <c r="R50" s="63"/>
      <c r="S50" s="63"/>
      <c r="T50" s="63"/>
      <c r="U50" s="128">
        <f t="shared" ref="U50:U51" si="5">AVERAGE(P50:T50)</f>
        <v>8.5</v>
      </c>
      <c r="V50" s="72"/>
      <c r="W50" s="222" t="s">
        <v>40</v>
      </c>
      <c r="X50" s="72"/>
      <c r="Y50" s="22">
        <v>10</v>
      </c>
      <c r="Z50" s="147">
        <v>12</v>
      </c>
      <c r="AA50" s="326" t="s">
        <v>87</v>
      </c>
      <c r="AB50" s="8" t="s">
        <v>104</v>
      </c>
      <c r="AC50" s="2"/>
      <c r="AD50" s="1"/>
      <c r="AE50" s="1"/>
      <c r="AF50" s="1"/>
    </row>
    <row r="51" spans="1:34" ht="15">
      <c r="A51" s="391"/>
      <c r="B51" s="9" t="s">
        <v>105</v>
      </c>
      <c r="C51" s="183">
        <v>4.5</v>
      </c>
      <c r="D51" s="22">
        <v>6</v>
      </c>
      <c r="E51" s="22">
        <v>10</v>
      </c>
      <c r="F51" s="22">
        <v>18</v>
      </c>
      <c r="G51" s="183">
        <v>3.5</v>
      </c>
      <c r="H51" s="183">
        <v>5</v>
      </c>
      <c r="I51" s="22">
        <v>8</v>
      </c>
      <c r="J51" s="183">
        <v>0.25</v>
      </c>
      <c r="K51" s="183">
        <v>9.25</v>
      </c>
      <c r="L51" s="183">
        <v>5.6</v>
      </c>
      <c r="M51" s="183">
        <v>9.25</v>
      </c>
      <c r="N51" s="22">
        <v>4</v>
      </c>
      <c r="O51" s="50"/>
      <c r="P51" s="63">
        <v>15</v>
      </c>
      <c r="Q51" s="63">
        <v>5</v>
      </c>
      <c r="R51" s="63"/>
      <c r="S51" s="64"/>
      <c r="T51" s="63"/>
      <c r="U51" s="128">
        <f t="shared" si="5"/>
        <v>10</v>
      </c>
      <c r="V51" s="72"/>
      <c r="W51" s="76" t="s">
        <v>106</v>
      </c>
      <c r="X51" s="46"/>
      <c r="Y51" s="22">
        <v>25</v>
      </c>
      <c r="Z51" s="147">
        <v>30</v>
      </c>
      <c r="AA51" s="326" t="s">
        <v>87</v>
      </c>
      <c r="AB51" s="8" t="s">
        <v>107</v>
      </c>
      <c r="AC51" s="2"/>
      <c r="AD51" s="1"/>
      <c r="AE51" s="1"/>
      <c r="AF51" s="1"/>
    </row>
    <row r="52" spans="1:34">
      <c r="A52" s="5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46"/>
      <c r="P52" s="11"/>
      <c r="Q52" s="11"/>
      <c r="R52" s="11"/>
      <c r="S52" s="11"/>
      <c r="T52" s="11"/>
      <c r="U52" s="120"/>
      <c r="V52" s="72"/>
      <c r="W52" s="7"/>
      <c r="X52" s="46"/>
      <c r="Y52" s="1"/>
      <c r="Z52" s="1"/>
      <c r="AA52" s="138"/>
      <c r="AB52" s="1"/>
      <c r="AC52" s="4"/>
      <c r="AD52" s="1"/>
      <c r="AE52" s="1"/>
      <c r="AF52" s="1"/>
      <c r="AH52" s="3" t="s">
        <v>7</v>
      </c>
    </row>
    <row r="53" spans="1:34" ht="31.5" customHeight="1">
      <c r="A53" s="391" t="s">
        <v>108</v>
      </c>
      <c r="B53" s="38" t="s">
        <v>109</v>
      </c>
      <c r="C53" s="197">
        <v>5442</v>
      </c>
      <c r="D53" s="39">
        <v>4674</v>
      </c>
      <c r="E53" s="39">
        <v>5462</v>
      </c>
      <c r="F53" s="22">
        <v>4856</v>
      </c>
      <c r="G53" s="22">
        <v>3462</v>
      </c>
      <c r="H53" s="22">
        <v>4227</v>
      </c>
      <c r="I53" s="22">
        <v>4530</v>
      </c>
      <c r="J53" s="22">
        <v>1702</v>
      </c>
      <c r="K53" s="22">
        <v>7754</v>
      </c>
      <c r="L53" s="22">
        <v>6851</v>
      </c>
      <c r="M53" s="39">
        <v>6423</v>
      </c>
      <c r="N53" s="22">
        <v>4698</v>
      </c>
      <c r="O53" s="50"/>
      <c r="P53" s="103">
        <v>1476</v>
      </c>
      <c r="Q53" s="63">
        <v>1409</v>
      </c>
      <c r="R53" s="63"/>
      <c r="S53" s="63"/>
      <c r="T53" s="63"/>
      <c r="U53" s="197">
        <f>SUM(P53:T53)</f>
        <v>2885</v>
      </c>
      <c r="V53" s="72"/>
      <c r="W53" s="172" t="s">
        <v>40</v>
      </c>
      <c r="X53" s="46"/>
      <c r="Y53" s="39">
        <v>1300</v>
      </c>
      <c r="Z53" s="151">
        <v>1100</v>
      </c>
      <c r="AA53" s="344" t="s">
        <v>110</v>
      </c>
      <c r="AB53" s="390"/>
      <c r="AC53" s="2"/>
      <c r="AD53" s="1">
        <v>1476</v>
      </c>
      <c r="AE53" s="1"/>
      <c r="AF53" s="1"/>
      <c r="AH53" s="3">
        <v>5442</v>
      </c>
    </row>
    <row r="54" spans="1:34" ht="15">
      <c r="A54" s="391"/>
      <c r="B54" s="36" t="s">
        <v>111</v>
      </c>
      <c r="C54" s="115">
        <v>0.53957500000000003</v>
      </c>
      <c r="D54" s="17">
        <v>0.68</v>
      </c>
      <c r="E54" s="17">
        <v>0.68</v>
      </c>
      <c r="F54" s="17">
        <v>0.68</v>
      </c>
      <c r="G54" s="17">
        <v>0.66434999999999989</v>
      </c>
      <c r="H54" s="17">
        <v>0.74</v>
      </c>
      <c r="I54" s="17">
        <v>0.64399999999999991</v>
      </c>
      <c r="J54" s="17">
        <v>0.65749999999999997</v>
      </c>
      <c r="K54" s="17">
        <v>0.68</v>
      </c>
      <c r="L54" s="17">
        <v>0.62430000000000008</v>
      </c>
      <c r="M54" s="17">
        <v>0.63000000000000012</v>
      </c>
      <c r="N54" s="17">
        <v>0.37250000000000005</v>
      </c>
      <c r="O54" s="48"/>
      <c r="P54" s="65">
        <v>0.47</v>
      </c>
      <c r="Q54" s="65">
        <v>0.52</v>
      </c>
      <c r="R54" s="65"/>
      <c r="S54" s="65"/>
      <c r="T54" s="65"/>
      <c r="U54" s="115">
        <f>AVERAGE(P54:T54)</f>
        <v>0.495</v>
      </c>
      <c r="V54" s="72"/>
      <c r="W54" s="192" t="s">
        <v>112</v>
      </c>
      <c r="X54" s="46"/>
      <c r="Y54" s="17">
        <v>0.7</v>
      </c>
      <c r="Z54" s="144">
        <v>0.75</v>
      </c>
      <c r="AA54" s="344" t="s">
        <v>110</v>
      </c>
      <c r="AB54" s="390"/>
      <c r="AC54" s="2"/>
      <c r="AD54" s="1">
        <v>691</v>
      </c>
      <c r="AE54" s="1"/>
      <c r="AF54" s="1"/>
      <c r="AH54" s="354">
        <v>0.53957500000000003</v>
      </c>
    </row>
    <row r="55" spans="1:34" ht="14.1">
      <c r="A55" s="391"/>
      <c r="B55" s="38" t="s">
        <v>113</v>
      </c>
      <c r="C55" s="123">
        <v>9</v>
      </c>
      <c r="D55" s="10">
        <v>19</v>
      </c>
      <c r="E55" s="10">
        <v>21</v>
      </c>
      <c r="F55" s="10">
        <v>22</v>
      </c>
      <c r="G55" s="10">
        <v>18</v>
      </c>
      <c r="H55" s="10">
        <v>25</v>
      </c>
      <c r="I55" s="10">
        <v>21</v>
      </c>
      <c r="J55" s="10">
        <v>9</v>
      </c>
      <c r="K55" s="10">
        <v>6</v>
      </c>
      <c r="L55" s="162">
        <v>6.8</v>
      </c>
      <c r="M55" s="162">
        <v>8</v>
      </c>
      <c r="N55" s="162">
        <v>4.5</v>
      </c>
      <c r="O55" s="48"/>
      <c r="P55" s="60">
        <v>10</v>
      </c>
      <c r="Q55" s="60">
        <v>8</v>
      </c>
      <c r="R55" s="60"/>
      <c r="S55" s="60"/>
      <c r="T55" s="60"/>
      <c r="U55" s="123">
        <f>AVERAGE(P55:T55)</f>
        <v>9</v>
      </c>
      <c r="V55" s="72"/>
      <c r="W55" s="192" t="s">
        <v>112</v>
      </c>
      <c r="X55" s="46"/>
      <c r="Y55" s="10">
        <v>5</v>
      </c>
      <c r="Z55" s="143">
        <v>7</v>
      </c>
      <c r="AA55" s="328"/>
      <c r="AB55" s="390"/>
      <c r="AC55" s="2"/>
      <c r="AD55" s="1">
        <f>AD54/AD53</f>
        <v>0.46815718157181574</v>
      </c>
      <c r="AE55" s="1"/>
      <c r="AF55" s="1"/>
      <c r="AH55" s="3">
        <v>9</v>
      </c>
    </row>
    <row r="56" spans="1:34" ht="15">
      <c r="A56" s="391"/>
      <c r="B56" s="36" t="s">
        <v>103</v>
      </c>
      <c r="C56" s="123">
        <v>17</v>
      </c>
      <c r="D56" s="10">
        <v>17</v>
      </c>
      <c r="E56" s="10">
        <v>19</v>
      </c>
      <c r="F56" s="10">
        <v>15</v>
      </c>
      <c r="G56" s="10">
        <v>17</v>
      </c>
      <c r="H56" s="10">
        <v>17</v>
      </c>
      <c r="I56" s="10">
        <v>13</v>
      </c>
      <c r="J56" s="10">
        <v>2</v>
      </c>
      <c r="K56" s="10">
        <v>11</v>
      </c>
      <c r="L56" s="10">
        <v>23</v>
      </c>
      <c r="M56" s="162">
        <v>18</v>
      </c>
      <c r="N56" s="10">
        <v>8</v>
      </c>
      <c r="O56" s="48"/>
      <c r="P56" s="60">
        <v>7</v>
      </c>
      <c r="Q56" s="60">
        <v>4</v>
      </c>
      <c r="R56" s="60"/>
      <c r="S56" s="60"/>
      <c r="T56" s="60"/>
      <c r="U56" s="123">
        <f>SUM(P56:T56)</f>
        <v>11</v>
      </c>
      <c r="V56" s="72"/>
      <c r="W56" s="192" t="s">
        <v>112</v>
      </c>
      <c r="X56" s="46"/>
      <c r="Y56" s="10">
        <v>5</v>
      </c>
      <c r="Z56" s="143">
        <v>8</v>
      </c>
      <c r="AA56" s="344" t="s">
        <v>114</v>
      </c>
      <c r="AB56" s="390"/>
      <c r="AC56" s="2"/>
      <c r="AD56" s="1"/>
      <c r="AE56" s="1"/>
      <c r="AF56" s="1"/>
      <c r="AH56" s="3">
        <v>17</v>
      </c>
    </row>
    <row r="57" spans="1:34" ht="15">
      <c r="A57" s="391"/>
      <c r="B57" s="36" t="s">
        <v>115</v>
      </c>
      <c r="C57" s="115">
        <v>8.1500000000000003E-2</v>
      </c>
      <c r="D57" s="17">
        <v>0.05</v>
      </c>
      <c r="E57" s="17">
        <v>7.0000000000000007E-2</v>
      </c>
      <c r="F57" s="17">
        <v>0.1</v>
      </c>
      <c r="G57" s="17">
        <v>8.6425000000000002E-2</v>
      </c>
      <c r="H57" s="17">
        <v>0.08</v>
      </c>
      <c r="I57" s="17">
        <v>9.1999999999999998E-2</v>
      </c>
      <c r="J57" s="17">
        <v>9.3900000000000011E-2</v>
      </c>
      <c r="K57" s="17">
        <v>0.09</v>
      </c>
      <c r="L57" s="17">
        <v>7.6799999999999993E-2</v>
      </c>
      <c r="M57" s="17">
        <v>9.7924999999999984E-2</v>
      </c>
      <c r="N57" s="17">
        <v>8.3500000000000005E-2</v>
      </c>
      <c r="O57" s="48"/>
      <c r="P57" s="65">
        <v>0.09</v>
      </c>
      <c r="Q57" s="65">
        <v>7.0000000000000007E-2</v>
      </c>
      <c r="R57" s="65"/>
      <c r="S57" s="65"/>
      <c r="T57" s="65"/>
      <c r="U57" s="115">
        <f>AVERAGE(P57:T57)</f>
        <v>0.08</v>
      </c>
      <c r="V57" s="72"/>
      <c r="W57" s="172" t="s">
        <v>40</v>
      </c>
      <c r="X57" s="46"/>
      <c r="Y57" s="154">
        <v>0.1</v>
      </c>
      <c r="Z57" s="143"/>
      <c r="AA57" s="326" t="s">
        <v>116</v>
      </c>
      <c r="AB57" s="4"/>
      <c r="AC57" s="2"/>
      <c r="AD57" s="1"/>
      <c r="AE57" s="1"/>
      <c r="AF57" s="1"/>
      <c r="AH57" s="354">
        <v>8.1500000000000003E-2</v>
      </c>
    </row>
    <row r="58" spans="1:34" ht="15">
      <c r="A58" s="391"/>
      <c r="B58" s="41" t="s">
        <v>117</v>
      </c>
      <c r="C58" s="122">
        <v>26</v>
      </c>
      <c r="D58" s="42"/>
      <c r="E58" s="42"/>
      <c r="F58" s="42"/>
      <c r="G58" s="42">
        <v>15</v>
      </c>
      <c r="H58" s="42">
        <v>26</v>
      </c>
      <c r="I58" s="42">
        <v>19</v>
      </c>
      <c r="J58" s="42">
        <v>2</v>
      </c>
      <c r="K58" s="42">
        <v>69</v>
      </c>
      <c r="L58" s="42">
        <v>31</v>
      </c>
      <c r="M58" s="251">
        <v>28</v>
      </c>
      <c r="N58" s="42">
        <v>11</v>
      </c>
      <c r="O58" s="53"/>
      <c r="P58" s="42">
        <v>4</v>
      </c>
      <c r="Q58" s="42">
        <v>5</v>
      </c>
      <c r="R58" s="42"/>
      <c r="S58" s="42"/>
      <c r="T58" s="42"/>
      <c r="U58" s="122">
        <f>SUM(P58:T58)</f>
        <v>9</v>
      </c>
      <c r="V58" s="72"/>
      <c r="W58" s="7"/>
      <c r="X58" s="46"/>
      <c r="Z58" s="1"/>
      <c r="AA58" s="345" t="s">
        <v>118</v>
      </c>
      <c r="AB58" s="1"/>
      <c r="AC58" s="2"/>
      <c r="AD58" s="1"/>
      <c r="AE58" s="1"/>
      <c r="AF58" s="1"/>
      <c r="AH58" s="3">
        <v>26</v>
      </c>
    </row>
    <row r="59" spans="1:34"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54"/>
      <c r="P59" s="43"/>
      <c r="Q59" s="43"/>
      <c r="R59" s="43"/>
      <c r="S59" s="43"/>
      <c r="T59" s="43"/>
      <c r="U59" s="121"/>
      <c r="V59" s="72"/>
      <c r="W59" s="14"/>
      <c r="X59" s="46"/>
      <c r="Y59" s="154">
        <v>0.1</v>
      </c>
      <c r="Z59" s="13"/>
      <c r="AA59" s="138"/>
      <c r="AB59" s="390"/>
      <c r="AC59" s="2"/>
      <c r="AD59" s="1"/>
      <c r="AE59" s="1"/>
      <c r="AF59" s="1"/>
    </row>
    <row r="60" spans="1:34">
      <c r="A60" s="391" t="s">
        <v>119</v>
      </c>
      <c r="B60" s="44" t="s">
        <v>120</v>
      </c>
      <c r="C60" s="209">
        <v>2254823.9619999998</v>
      </c>
      <c r="D60" s="209">
        <v>5071000</v>
      </c>
      <c r="E60" s="209">
        <v>4589000</v>
      </c>
      <c r="F60" s="209">
        <v>4913000</v>
      </c>
      <c r="G60" s="209">
        <v>4007070</v>
      </c>
      <c r="H60" s="209">
        <v>6167180</v>
      </c>
      <c r="I60" s="209">
        <v>3901975.03</v>
      </c>
      <c r="J60" s="209">
        <v>5205082.49</v>
      </c>
      <c r="K60" s="210">
        <v>5723604.8250000002</v>
      </c>
      <c r="L60" s="210">
        <v>4372381.5350000001</v>
      </c>
      <c r="M60" s="210">
        <v>2649561.4900000002</v>
      </c>
      <c r="N60" s="242">
        <v>2807562.18</v>
      </c>
      <c r="O60" s="50"/>
      <c r="P60" s="21">
        <v>2296523.85</v>
      </c>
      <c r="Q60" s="21">
        <v>2067043.17</v>
      </c>
      <c r="R60" s="21"/>
      <c r="S60" s="21"/>
      <c r="T60" s="209"/>
      <c r="U60" s="21">
        <f>AVERAGE(P60:T60)</f>
        <v>2181783.5099999998</v>
      </c>
      <c r="V60" s="72"/>
      <c r="W60" s="75" t="s">
        <v>121</v>
      </c>
      <c r="X60" s="46"/>
      <c r="Y60" s="64"/>
      <c r="Z60" s="147"/>
      <c r="AA60" s="138"/>
      <c r="AB60" s="390"/>
      <c r="AC60" s="2"/>
      <c r="AD60" s="1"/>
      <c r="AE60" s="1"/>
      <c r="AF60" s="1"/>
    </row>
    <row r="61" spans="1:34">
      <c r="A61" s="391"/>
      <c r="B61" s="9" t="s">
        <v>122</v>
      </c>
      <c r="C61" s="211">
        <v>115079.4</v>
      </c>
      <c r="D61" s="211">
        <v>340000</v>
      </c>
      <c r="E61" s="211">
        <v>264000</v>
      </c>
      <c r="F61" s="211">
        <v>202000</v>
      </c>
      <c r="G61" s="211">
        <v>194868</v>
      </c>
      <c r="H61" s="211">
        <v>239270</v>
      </c>
      <c r="I61" s="211">
        <v>371104</v>
      </c>
      <c r="J61" s="211">
        <v>482805</v>
      </c>
      <c r="K61" s="212">
        <v>330634.5</v>
      </c>
      <c r="L61" s="212">
        <v>255502.25</v>
      </c>
      <c r="M61" s="212">
        <v>84821</v>
      </c>
      <c r="N61" s="28">
        <v>62617</v>
      </c>
      <c r="O61" s="48"/>
      <c r="P61" s="15">
        <v>43597</v>
      </c>
      <c r="Q61" s="15">
        <v>-7732</v>
      </c>
      <c r="R61" s="15"/>
      <c r="S61" s="15"/>
      <c r="T61" s="211"/>
      <c r="U61" s="21">
        <f>AVERAGE(P61:T61)</f>
        <v>17932.5</v>
      </c>
      <c r="V61" s="72"/>
      <c r="W61" s="75" t="s">
        <v>123</v>
      </c>
      <c r="X61" s="46"/>
      <c r="Y61" s="64"/>
      <c r="Z61" s="147"/>
      <c r="AA61" s="138"/>
      <c r="AB61" s="390"/>
      <c r="AC61" s="2"/>
      <c r="AD61" s="1"/>
      <c r="AE61" s="1"/>
      <c r="AF61" s="1"/>
    </row>
    <row r="62" spans="1:34">
      <c r="A62" s="391"/>
      <c r="B62" s="9" t="s">
        <v>124</v>
      </c>
      <c r="C62" s="182">
        <v>5.0096409227792557E-2</v>
      </c>
      <c r="D62" s="182">
        <f t="shared" ref="D62:I62" si="6">D61/D60</f>
        <v>6.7047919542496545E-2</v>
      </c>
      <c r="E62" s="182">
        <f t="shared" si="6"/>
        <v>5.7528873392896057E-2</v>
      </c>
      <c r="F62" s="182">
        <f t="shared" si="6"/>
        <v>4.1115408100956645E-2</v>
      </c>
      <c r="G62" s="182">
        <f t="shared" si="6"/>
        <v>4.8631044628618919E-2</v>
      </c>
      <c r="H62" s="182">
        <f t="shared" si="6"/>
        <v>3.8797310926549901E-2</v>
      </c>
      <c r="I62" s="182">
        <f t="shared" si="6"/>
        <v>9.5106708050871361E-2</v>
      </c>
      <c r="J62" s="182">
        <f>J61/J60</f>
        <v>9.2756455047074568E-2</v>
      </c>
      <c r="K62" s="185">
        <v>0.06</v>
      </c>
      <c r="L62" s="185">
        <v>5.8435488292766291E-2</v>
      </c>
      <c r="M62" s="185">
        <f>M61/M60</f>
        <v>3.2013221931301544E-2</v>
      </c>
      <c r="N62" s="182">
        <f>N61/N60</f>
        <v>2.23029788782808E-2</v>
      </c>
      <c r="O62" s="48"/>
      <c r="P62" s="182">
        <f>IFERROR(P61/P60,"")</f>
        <v>1.8983909093737476E-2</v>
      </c>
      <c r="Q62" s="182">
        <f>IFERROR(Q61/Q60,"")</f>
        <v>-3.7406088620780958E-3</v>
      </c>
      <c r="R62" s="182" t="str">
        <f>IFERROR(R61/R60,"")</f>
        <v/>
      </c>
      <c r="S62" s="182" t="str">
        <f>IFERROR(S61/S60,"")</f>
        <v/>
      </c>
      <c r="T62" s="182" t="str">
        <f>IFERROR(T61/T60,"")</f>
        <v/>
      </c>
      <c r="U62" s="361">
        <f>AVERAGE(P62:T62)</f>
        <v>7.6216501158296902E-3</v>
      </c>
      <c r="V62" s="72"/>
      <c r="W62" s="75" t="s">
        <v>123</v>
      </c>
      <c r="X62" s="46"/>
      <c r="Y62" s="220">
        <v>0.05</v>
      </c>
      <c r="Z62" s="150">
        <v>0.01</v>
      </c>
      <c r="AA62" s="138"/>
      <c r="AB62" s="390"/>
      <c r="AC62" s="2"/>
      <c r="AD62" s="1"/>
      <c r="AE62" s="1"/>
      <c r="AF62" s="1"/>
    </row>
    <row r="63" spans="1:34">
      <c r="A63" s="391"/>
      <c r="B63" s="9" t="s">
        <v>125</v>
      </c>
      <c r="C63" s="28">
        <v>485388.2</v>
      </c>
      <c r="D63" s="211">
        <v>482000</v>
      </c>
      <c r="E63" s="211">
        <v>486000</v>
      </c>
      <c r="F63" s="211">
        <v>517000</v>
      </c>
      <c r="G63" s="211">
        <v>800300</v>
      </c>
      <c r="H63" s="211">
        <v>596000</v>
      </c>
      <c r="I63" s="211">
        <v>882031</v>
      </c>
      <c r="J63" s="211">
        <v>644937</v>
      </c>
      <c r="K63" s="212">
        <v>639242.5</v>
      </c>
      <c r="L63" s="212">
        <v>876971.75</v>
      </c>
      <c r="M63" s="212">
        <v>825970</v>
      </c>
      <c r="N63" s="28">
        <v>751049</v>
      </c>
      <c r="O63" s="48"/>
      <c r="P63" s="15">
        <v>303751</v>
      </c>
      <c r="Q63" s="15">
        <v>168800</v>
      </c>
      <c r="R63" s="15"/>
      <c r="S63" s="15"/>
      <c r="T63" s="211"/>
      <c r="U63" s="21">
        <f>AVERAGE(P63:T63)</f>
        <v>236275.5</v>
      </c>
      <c r="V63" s="72"/>
      <c r="W63" s="76" t="s">
        <v>126</v>
      </c>
      <c r="X63" s="46"/>
      <c r="Y63" s="64"/>
      <c r="Z63" s="147"/>
      <c r="AA63" s="138" t="s">
        <v>127</v>
      </c>
      <c r="AB63" s="390"/>
      <c r="AC63" s="2"/>
      <c r="AD63" s="1"/>
      <c r="AE63" s="1"/>
      <c r="AF63" s="1"/>
    </row>
    <row r="64" spans="1:34">
      <c r="A64" s="391"/>
      <c r="B64" s="9" t="s">
        <v>124</v>
      </c>
      <c r="C64" s="182">
        <v>0.21651531416453787</v>
      </c>
      <c r="D64" s="182">
        <f>D63/D60</f>
        <v>9.5050285939656878E-2</v>
      </c>
      <c r="E64" s="182">
        <f t="shared" ref="E64:I64" si="7">E63/E60</f>
        <v>0.10590542601874046</v>
      </c>
      <c r="F64" s="182">
        <f t="shared" si="7"/>
        <v>0.10523101974353756</v>
      </c>
      <c r="G64" s="182">
        <f t="shared" si="7"/>
        <v>0.19972199138023544</v>
      </c>
      <c r="H64" s="182">
        <f t="shared" si="7"/>
        <v>9.6640603971345093E-2</v>
      </c>
      <c r="I64" s="182">
        <f t="shared" si="7"/>
        <v>0.22604732045145867</v>
      </c>
      <c r="J64" s="182">
        <f>J63/J60</f>
        <v>0.12390524093307885</v>
      </c>
      <c r="K64" s="185">
        <v>0.11168529616298238</v>
      </c>
      <c r="L64" s="185">
        <v>0.20057072855605679</v>
      </c>
      <c r="M64" s="185">
        <f>M63/M60</f>
        <v>0.31173837750789468</v>
      </c>
      <c r="N64" s="182">
        <f>N63/N60</f>
        <v>0.26750930232291414</v>
      </c>
      <c r="O64" s="48"/>
      <c r="P64" s="185">
        <f>IFERROR(P63/P60,"")</f>
        <v>0.13226555430721959</v>
      </c>
      <c r="Q64" s="185">
        <f>IFERROR(Q63/Q60,"")</f>
        <v>8.1662542151937745E-2</v>
      </c>
      <c r="R64" s="185" t="str">
        <f>IFERROR(R63/R60,"")</f>
        <v/>
      </c>
      <c r="S64" s="185" t="str">
        <f>IFERROR(S63/S60,"")</f>
        <v/>
      </c>
      <c r="T64" s="185" t="str">
        <f>IFERROR(T63/T60,"")</f>
        <v/>
      </c>
      <c r="U64" s="361">
        <f>AVERAGE(P64:T64)</f>
        <v>0.10696404822957867</v>
      </c>
      <c r="V64" s="72"/>
      <c r="W64" s="76" t="s">
        <v>126</v>
      </c>
      <c r="X64" s="46"/>
      <c r="Y64" s="154">
        <v>0.1</v>
      </c>
      <c r="Z64" s="221">
        <v>0.05</v>
      </c>
      <c r="AA64" s="138" t="s">
        <v>127</v>
      </c>
      <c r="AB64" s="4"/>
      <c r="AC64" s="2"/>
      <c r="AD64" s="1"/>
      <c r="AE64" s="1"/>
      <c r="AF64" s="1"/>
    </row>
    <row r="65" spans="1:32" ht="15">
      <c r="A65" s="391"/>
      <c r="B65" s="9" t="s">
        <v>128</v>
      </c>
      <c r="C65" s="250">
        <v>1156</v>
      </c>
      <c r="D65" s="250">
        <v>2629</v>
      </c>
      <c r="E65" s="250">
        <v>1770</v>
      </c>
      <c r="F65" s="250">
        <v>890</v>
      </c>
      <c r="G65" s="250">
        <v>27</v>
      </c>
      <c r="H65" s="250">
        <v>3703</v>
      </c>
      <c r="I65" s="250">
        <v>1164</v>
      </c>
      <c r="J65" s="250">
        <v>2830</v>
      </c>
      <c r="K65" s="250">
        <v>1896</v>
      </c>
      <c r="L65" s="250">
        <v>1246</v>
      </c>
      <c r="M65" s="250">
        <v>1920</v>
      </c>
      <c r="N65" s="250">
        <v>1081</v>
      </c>
      <c r="O65" s="48"/>
      <c r="P65" s="214">
        <v>31</v>
      </c>
      <c r="Q65" s="214">
        <v>262</v>
      </c>
      <c r="R65" s="179"/>
      <c r="S65" s="179"/>
      <c r="T65" s="204"/>
      <c r="U65" s="22">
        <f>SUM(P65:T65)</f>
        <v>293</v>
      </c>
      <c r="V65" s="72"/>
      <c r="W65" s="76" t="s">
        <v>126</v>
      </c>
      <c r="X65" s="46"/>
      <c r="Y65" s="64"/>
      <c r="Z65" s="147"/>
      <c r="AA65" s="138" t="s">
        <v>129</v>
      </c>
      <c r="AB65" s="390"/>
      <c r="AC65" s="2"/>
      <c r="AD65" s="1"/>
      <c r="AE65" s="1"/>
      <c r="AF65" s="1"/>
    </row>
    <row r="66" spans="1:32" ht="15">
      <c r="A66" s="391"/>
      <c r="B66" s="9" t="s">
        <v>130</v>
      </c>
      <c r="C66" s="205">
        <v>1216561</v>
      </c>
      <c r="D66" s="205">
        <v>1487449.9399999985</v>
      </c>
      <c r="E66" s="205">
        <v>1336583.9900000007</v>
      </c>
      <c r="F66" s="205">
        <v>1637195.3299999984</v>
      </c>
      <c r="G66" s="205">
        <v>1114097.6500000001</v>
      </c>
      <c r="H66" s="205">
        <v>2696579.37</v>
      </c>
      <c r="I66" s="205">
        <v>1110483.74</v>
      </c>
      <c r="J66" s="205">
        <v>2090312.45</v>
      </c>
      <c r="K66" s="205">
        <v>1437178</v>
      </c>
      <c r="L66" s="205">
        <v>1149754</v>
      </c>
      <c r="M66" s="205">
        <v>1033205.9000000004</v>
      </c>
      <c r="N66" s="205">
        <v>1103401.0099999998</v>
      </c>
      <c r="O66" s="48"/>
      <c r="P66" s="206">
        <v>76751</v>
      </c>
      <c r="Q66" s="206">
        <v>248673</v>
      </c>
      <c r="R66" s="206"/>
      <c r="S66" s="206"/>
      <c r="T66" s="205"/>
      <c r="U66" s="362">
        <f>SUM(P66:T66)</f>
        <v>325424</v>
      </c>
      <c r="V66" s="72"/>
      <c r="W66" s="76" t="s">
        <v>126</v>
      </c>
      <c r="X66" s="46"/>
      <c r="Y66" s="220">
        <v>1.1000000000000001</v>
      </c>
      <c r="Z66" s="220">
        <v>1.1499999999999999</v>
      </c>
      <c r="AA66" s="138" t="s">
        <v>129</v>
      </c>
      <c r="AB66" s="390"/>
      <c r="AC66" s="2"/>
      <c r="AD66" s="1"/>
      <c r="AE66" s="1"/>
      <c r="AF66" s="1"/>
    </row>
    <row r="67" spans="1:32" s="342" customFormat="1" ht="15">
      <c r="A67" s="343" t="s">
        <v>131</v>
      </c>
      <c r="B67" s="330" t="s">
        <v>132</v>
      </c>
      <c r="C67" s="331"/>
      <c r="D67" s="331"/>
      <c r="E67" s="331"/>
      <c r="F67" s="331"/>
      <c r="G67" s="331"/>
      <c r="H67" s="331"/>
      <c r="I67" s="331"/>
      <c r="J67" s="331"/>
      <c r="K67" s="331"/>
      <c r="L67" s="331"/>
      <c r="M67" s="331"/>
      <c r="N67" s="363"/>
      <c r="O67" s="332"/>
      <c r="P67" s="333"/>
      <c r="Q67" s="333"/>
      <c r="R67" s="333"/>
      <c r="S67" s="333"/>
      <c r="T67" s="331"/>
      <c r="U67" s="334"/>
      <c r="V67" s="335"/>
      <c r="W67" s="336"/>
      <c r="X67" s="337"/>
      <c r="Y67" s="338"/>
      <c r="Z67" s="338"/>
      <c r="AA67" s="339"/>
      <c r="AB67" s="340"/>
      <c r="AC67" s="341"/>
    </row>
    <row r="68" spans="1:32" s="342" customFormat="1" ht="15">
      <c r="A68" s="329"/>
      <c r="B68" s="330" t="s">
        <v>133</v>
      </c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63"/>
      <c r="O68" s="332"/>
      <c r="P68" s="333"/>
      <c r="Q68" s="333"/>
      <c r="R68" s="333"/>
      <c r="S68" s="333"/>
      <c r="T68" s="331"/>
      <c r="U68" s="334"/>
      <c r="V68" s="335"/>
      <c r="W68" s="336"/>
      <c r="X68" s="337"/>
      <c r="Y68" s="338"/>
      <c r="Z68" s="338"/>
      <c r="AA68" s="339"/>
      <c r="AB68" s="340"/>
      <c r="AC68" s="341"/>
    </row>
    <row r="69" spans="1:32" s="342" customFormat="1" ht="15">
      <c r="A69" s="329"/>
      <c r="B69" s="330" t="s">
        <v>134</v>
      </c>
      <c r="C69" s="331"/>
      <c r="D69" s="331"/>
      <c r="E69" s="331"/>
      <c r="F69" s="331"/>
      <c r="G69" s="331"/>
      <c r="H69" s="331"/>
      <c r="I69" s="331"/>
      <c r="J69" s="331"/>
      <c r="K69" s="331"/>
      <c r="L69" s="331"/>
      <c r="M69" s="331"/>
      <c r="N69" s="363"/>
      <c r="O69" s="332"/>
      <c r="P69" s="333"/>
      <c r="Q69" s="333"/>
      <c r="R69" s="333"/>
      <c r="S69" s="333"/>
      <c r="T69" s="331"/>
      <c r="U69" s="334"/>
      <c r="V69" s="335"/>
      <c r="W69" s="336"/>
      <c r="X69" s="337"/>
      <c r="Y69" s="338"/>
      <c r="Z69" s="338"/>
      <c r="AA69" s="339"/>
      <c r="AB69" s="340"/>
      <c r="AC69" s="341"/>
    </row>
    <row r="70" spans="1:32" s="342" customFormat="1" ht="15">
      <c r="A70" s="329"/>
      <c r="B70" s="330" t="s">
        <v>135</v>
      </c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63"/>
      <c r="O70" s="332"/>
      <c r="P70" s="333"/>
      <c r="Q70" s="333"/>
      <c r="R70" s="333"/>
      <c r="S70" s="333"/>
      <c r="T70" s="331"/>
      <c r="U70" s="334"/>
      <c r="V70" s="335"/>
      <c r="W70" s="336"/>
      <c r="X70" s="337"/>
      <c r="Y70" s="338"/>
      <c r="Z70" s="338"/>
      <c r="AA70" s="339"/>
      <c r="AB70" s="340"/>
      <c r="AC70" s="341"/>
    </row>
    <row r="71" spans="1:32">
      <c r="A71" s="5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46"/>
      <c r="P71" s="1"/>
      <c r="Q71" s="1"/>
      <c r="R71" s="1"/>
      <c r="S71" s="1"/>
      <c r="T71" s="1"/>
      <c r="U71" s="120"/>
      <c r="V71" s="72"/>
      <c r="W71" s="4"/>
      <c r="X71" s="46"/>
      <c r="Y71" s="1"/>
      <c r="Z71" s="1"/>
      <c r="AA71" s="138"/>
      <c r="AB71" s="1"/>
      <c r="AC71" s="2"/>
      <c r="AD71" s="1"/>
      <c r="AE71" s="1"/>
      <c r="AF71" s="1"/>
    </row>
    <row r="72" spans="1:32" ht="15">
      <c r="A72" s="294" t="s">
        <v>136</v>
      </c>
      <c r="B72" s="300" t="s">
        <v>137</v>
      </c>
      <c r="C72" s="353">
        <v>284113.8</v>
      </c>
      <c r="D72" s="288"/>
      <c r="E72" s="288"/>
      <c r="F72" s="297">
        <v>303139</v>
      </c>
      <c r="G72" s="298">
        <f>'[1]App Metrics'!$K$11</f>
        <v>342867</v>
      </c>
      <c r="H72" s="288">
        <v>340570</v>
      </c>
      <c r="I72" s="298">
        <v>329137.2</v>
      </c>
      <c r="J72" s="298">
        <v>239273.5</v>
      </c>
      <c r="K72" s="288">
        <v>282147</v>
      </c>
      <c r="L72" s="298">
        <v>327826.66666666669</v>
      </c>
      <c r="M72" s="299">
        <v>308274.5</v>
      </c>
      <c r="N72" s="287"/>
      <c r="O72" s="290"/>
      <c r="P72" s="291"/>
      <c r="Q72" s="292"/>
      <c r="R72" s="292"/>
      <c r="S72" s="292"/>
      <c r="T72" s="347"/>
      <c r="U72" s="351" t="str">
        <f>IFERROR(AVERAGE(P72:T72),"")</f>
        <v/>
      </c>
      <c r="V72" s="72"/>
      <c r="W72" s="305" t="s">
        <v>93</v>
      </c>
      <c r="X72" s="46"/>
      <c r="Y72" s="114"/>
      <c r="Z72" s="152"/>
      <c r="AA72" s="138"/>
      <c r="AB72" s="1"/>
      <c r="AC72" s="2"/>
      <c r="AD72" s="1"/>
      <c r="AE72" s="1"/>
      <c r="AF72" s="1"/>
    </row>
    <row r="73" spans="1:32">
      <c r="A73" s="295"/>
      <c r="B73" s="300" t="s">
        <v>138</v>
      </c>
      <c r="C73" s="352">
        <v>44467.6</v>
      </c>
      <c r="D73" s="288"/>
      <c r="E73" s="288"/>
      <c r="F73" s="288"/>
      <c r="G73" s="288"/>
      <c r="H73" s="288"/>
      <c r="I73" s="288"/>
      <c r="J73" s="288"/>
      <c r="K73" s="288"/>
      <c r="L73" s="288"/>
      <c r="M73" s="288"/>
      <c r="N73" s="301"/>
      <c r="O73" s="289"/>
      <c r="P73" s="138"/>
      <c r="Q73" s="138"/>
      <c r="R73" s="138"/>
      <c r="S73" s="138"/>
      <c r="T73" s="348"/>
      <c r="U73" s="352" t="e">
        <f>AVERAGE(P73:T73)</f>
        <v>#DIV/0!</v>
      </c>
      <c r="V73" s="72"/>
      <c r="W73" s="304"/>
      <c r="X73" s="46"/>
      <c r="Y73" s="1"/>
      <c r="Z73" s="13"/>
      <c r="AA73" s="138"/>
      <c r="AB73" s="1"/>
      <c r="AC73" s="2"/>
      <c r="AD73" s="1"/>
      <c r="AE73" s="1"/>
      <c r="AF73" s="1"/>
    </row>
    <row r="74" spans="1:32">
      <c r="A74" s="296"/>
      <c r="B74" s="300" t="s">
        <v>139</v>
      </c>
      <c r="C74" s="352">
        <v>239646.2</v>
      </c>
      <c r="D74" s="288"/>
      <c r="E74" s="288"/>
      <c r="F74" s="288"/>
      <c r="G74" s="288"/>
      <c r="H74" s="288"/>
      <c r="I74" s="288"/>
      <c r="J74" s="288"/>
      <c r="K74" s="288"/>
      <c r="L74" s="288"/>
      <c r="M74" s="288"/>
      <c r="N74" s="301"/>
      <c r="O74" s="289"/>
      <c r="P74" s="138"/>
      <c r="Q74" s="138"/>
      <c r="R74" s="138"/>
      <c r="S74" s="138"/>
      <c r="T74" s="348"/>
      <c r="U74" s="352" t="e">
        <f>AVERAGE(P74:T74)</f>
        <v>#DIV/0!</v>
      </c>
      <c r="V74" s="72"/>
      <c r="W74" s="172"/>
      <c r="X74" s="46"/>
      <c r="Y74" s="1"/>
      <c r="Z74" s="1"/>
      <c r="AA74" s="138"/>
      <c r="AB74" s="1"/>
      <c r="AC74" s="2"/>
      <c r="AD74" s="1"/>
      <c r="AE74" s="1"/>
      <c r="AF74" s="1"/>
    </row>
    <row r="75" spans="1:32" ht="14.1" hidden="1">
      <c r="A75" s="80" t="s">
        <v>140</v>
      </c>
      <c r="B75" s="303" t="s">
        <v>141</v>
      </c>
      <c r="C75" s="352" t="e">
        <v>#DIV/0!</v>
      </c>
      <c r="D75" s="293"/>
      <c r="E75" s="293"/>
      <c r="F75" s="293"/>
      <c r="G75" s="308">
        <v>0.86</v>
      </c>
      <c r="H75" s="309"/>
      <c r="I75" s="309"/>
      <c r="J75" s="309"/>
      <c r="K75" s="309"/>
      <c r="L75" s="309"/>
      <c r="M75" s="309"/>
      <c r="N75" s="309"/>
      <c r="O75" s="48"/>
      <c r="P75" s="310"/>
      <c r="Q75" s="310"/>
      <c r="R75" s="310"/>
      <c r="S75" s="308"/>
      <c r="T75" s="310"/>
      <c r="U75" s="352" t="e">
        <f>AVERAGE(P75:T75)</f>
        <v>#DIV/0!</v>
      </c>
      <c r="V75" s="72"/>
      <c r="W75" s="306"/>
      <c r="X75" s="46"/>
      <c r="Y75" s="45"/>
      <c r="Z75" s="153"/>
      <c r="AA75" s="139"/>
    </row>
    <row r="76" spans="1:32">
      <c r="A76" s="302"/>
      <c r="B76" s="139" t="s">
        <v>142</v>
      </c>
      <c r="C76" s="352">
        <v>3.25</v>
      </c>
      <c r="G76" s="139"/>
      <c r="H76" s="139"/>
      <c r="I76" s="139"/>
      <c r="J76" s="139"/>
      <c r="K76" s="139"/>
      <c r="L76" s="139"/>
      <c r="M76" s="139"/>
      <c r="N76" s="139"/>
      <c r="O76" s="307"/>
      <c r="P76" s="223"/>
      <c r="Q76" s="139"/>
      <c r="R76" s="139"/>
      <c r="S76" s="139"/>
      <c r="T76" s="139"/>
      <c r="U76" s="352" t="e">
        <f>AVERAGE(P76:T76)</f>
        <v>#DIV/0!</v>
      </c>
      <c r="W76" s="192" t="s">
        <v>112</v>
      </c>
    </row>
  </sheetData>
  <mergeCells count="14">
    <mergeCell ref="A1:Z1"/>
    <mergeCell ref="A2:Z2"/>
    <mergeCell ref="P3:U3"/>
    <mergeCell ref="AB6:AB11"/>
    <mergeCell ref="A60:A66"/>
    <mergeCell ref="AB59:AB63"/>
    <mergeCell ref="AB38:AB42"/>
    <mergeCell ref="AB53:AB56"/>
    <mergeCell ref="A6:A12"/>
    <mergeCell ref="A15:A36"/>
    <mergeCell ref="A38:A42"/>
    <mergeCell ref="A44:A51"/>
    <mergeCell ref="A53:A58"/>
    <mergeCell ref="AB65:AB66"/>
  </mergeCells>
  <phoneticPr fontId="2" type="noConversion"/>
  <hyperlinks>
    <hyperlink ref="AB6" r:id="rId1" xr:uid="{929C1A73-9E6D-4C7F-80EC-E766FB768FB6}"/>
    <hyperlink ref="AA44" r:id="rId2" xr:uid="{9330E0CF-01C9-4113-A2E1-2C7C0DE22D38}"/>
    <hyperlink ref="AA51" r:id="rId3" xr:uid="{1B0101D9-81B2-4357-BD59-DEEA7B82757C}"/>
    <hyperlink ref="AA50" r:id="rId4" xr:uid="{C4B864BC-3F23-4950-8669-3DE3ECDA1386}"/>
    <hyperlink ref="AA45" r:id="rId5" xr:uid="{2BC82C30-27F1-4D6B-A822-DB2B67221E91}"/>
    <hyperlink ref="AA46" r:id="rId6" xr:uid="{28366681-27D9-4E8F-BBFE-27C6B5D8651B}"/>
    <hyperlink ref="AA47" r:id="rId7" xr:uid="{AE50D8F6-C33B-42B4-931D-65CB969E6600}"/>
    <hyperlink ref="AA48" r:id="rId8" xr:uid="{476FE4E1-9CC2-4FEA-BF47-F920AE4B0B17}"/>
    <hyperlink ref="AA49" r:id="rId9" xr:uid="{4A90978F-E8D8-42E8-9B87-491F4805CDF6}"/>
    <hyperlink ref="AA53" r:id="rId10" xr:uid="{EFE57BD9-12E2-43AC-9C1F-5A4A95A46661}"/>
    <hyperlink ref="AA54" r:id="rId11" xr:uid="{663B4643-2E40-4867-AB12-2E15A413CEA1}"/>
    <hyperlink ref="AA56" r:id="rId12" xr:uid="{DE5F5423-F73A-4B97-B6E1-EDB969CF798B}"/>
    <hyperlink ref="AA57" r:id="rId13" xr:uid="{53874448-27E9-402F-A1E5-92091E1BEB75}"/>
    <hyperlink ref="AA58" r:id="rId14" xr:uid="{F8031532-9B6D-4B5E-9D4A-F5F90AB231F6}"/>
    <hyperlink ref="AB47" r:id="rId15" xr:uid="{D8C0F1E6-6807-435B-BBB5-C7C846F05952}"/>
    <hyperlink ref="AB45" r:id="rId16" xr:uid="{95722BF3-664E-4426-A4D0-FBCEC87D9B4C}"/>
  </hyperlinks>
  <pageMargins left="0.7" right="0.7" top="0.75" bottom="0.75" header="0.3" footer="0.3"/>
  <pageSetup orientation="portrait" r:id="rId17"/>
  <legacy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34EB0-E9AC-41C3-8666-E83854628076}">
  <sheetPr>
    <tabColor rgb="FF7030A0"/>
  </sheetPr>
  <dimension ref="A1:BH48"/>
  <sheetViews>
    <sheetView zoomScaleNormal="100" workbookViewId="0">
      <pane xSplit="3" ySplit="5" topLeftCell="AI9" activePane="bottomRight" state="frozen"/>
      <selection pane="bottomRight" activeCell="AL13" sqref="AL13"/>
      <selection pane="bottomLeft" activeCell="A6" sqref="A6"/>
      <selection pane="topRight" activeCell="D1" sqref="D1"/>
    </sheetView>
  </sheetViews>
  <sheetFormatPr defaultColWidth="8.42578125" defaultRowHeight="12.75" customHeight="1"/>
  <cols>
    <col min="1" max="1" width="18.42578125" style="11" customWidth="1"/>
    <col min="2" max="2" width="34.42578125" style="11" bestFit="1" customWidth="1"/>
    <col min="3" max="3" width="10.42578125" style="11" bestFit="1" customWidth="1"/>
    <col min="4" max="4" width="11.28515625" style="11" customWidth="1"/>
    <col min="5" max="5" width="10.42578125" style="11" customWidth="1"/>
    <col min="6" max="6" width="11" style="11" bestFit="1" customWidth="1"/>
    <col min="7" max="7" width="11.42578125" style="11" bestFit="1" customWidth="1"/>
    <col min="8" max="8" width="12" style="11" customWidth="1"/>
    <col min="9" max="9" width="11.42578125" style="11" bestFit="1" customWidth="1"/>
    <col min="10" max="10" width="11.42578125" style="11" customWidth="1"/>
    <col min="11" max="12" width="12.28515625" style="11" customWidth="1"/>
    <col min="13" max="13" width="12.42578125" style="11" customWidth="1"/>
    <col min="14" max="14" width="13.7109375" style="11" bestFit="1" customWidth="1"/>
    <col min="15" max="16" width="12.7109375" style="11" bestFit="1" customWidth="1"/>
    <col min="17" max="18" width="12.42578125" style="11" hidden="1" customWidth="1"/>
    <col min="19" max="19" width="10.42578125" style="11" hidden="1" customWidth="1"/>
    <col min="20" max="20" width="9.42578125" style="11" hidden="1" customWidth="1"/>
    <col min="21" max="21" width="11.42578125" style="11" hidden="1" customWidth="1"/>
    <col min="22" max="22" width="14.28515625" style="11" hidden="1" customWidth="1"/>
    <col min="23" max="24" width="12.42578125" style="11" hidden="1" customWidth="1"/>
    <col min="25" max="25" width="11.28515625" style="11" hidden="1" customWidth="1"/>
    <col min="26" max="26" width="9.42578125" style="11" hidden="1" customWidth="1"/>
    <col min="27" max="27" width="12.42578125" style="11" hidden="1" customWidth="1"/>
    <col min="28" max="28" width="12.28515625" style="11" hidden="1" customWidth="1"/>
    <col min="29" max="29" width="9.7109375" style="11" hidden="1" customWidth="1"/>
    <col min="30" max="30" width="13" style="11" hidden="1" customWidth="1"/>
    <col min="31" max="31" width="13.28515625" style="11" hidden="1" customWidth="1"/>
    <col min="32" max="32" width="10.7109375" style="11" hidden="1" customWidth="1"/>
    <col min="33" max="34" width="12.42578125" style="11" customWidth="1"/>
    <col min="35" max="35" width="11.28515625" style="11" customWidth="1"/>
    <col min="36" max="36" width="11" style="11" customWidth="1"/>
    <col min="37" max="37" width="17.28515625" style="11" customWidth="1"/>
    <col min="38" max="39" width="12.42578125" style="11" customWidth="1"/>
    <col min="40" max="40" width="11.28515625" style="11" customWidth="1"/>
    <col min="41" max="41" width="11" style="11" customWidth="1"/>
    <col min="42" max="42" width="17.28515625" style="11" customWidth="1"/>
    <col min="43" max="43" width="12.42578125" style="11" customWidth="1"/>
    <col min="44" max="44" width="10.42578125" style="11" customWidth="1"/>
    <col min="45" max="45" width="10.42578125" style="89" customWidth="1"/>
    <col min="46" max="46" width="14.42578125" style="11" customWidth="1"/>
    <col min="47" max="47" width="21.42578125" style="11" bestFit="1" customWidth="1"/>
    <col min="48" max="48" width="1.42578125" style="89" customWidth="1"/>
    <col min="49" max="49" width="9.28515625" style="11"/>
    <col min="50" max="50" width="9.42578125" style="11" bestFit="1" customWidth="1"/>
    <col min="51" max="51" width="82.28515625" style="11" bestFit="1" customWidth="1"/>
    <col min="52" max="16384" width="8.42578125" style="11"/>
  </cols>
  <sheetData>
    <row r="1" spans="1:60" s="3" customFormat="1" ht="15" customHeight="1">
      <c r="A1" s="156" t="s">
        <v>143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I1" s="156"/>
      <c r="AJ1" s="156"/>
      <c r="AK1" s="156"/>
      <c r="AL1" s="156"/>
      <c r="AM1" s="156"/>
      <c r="AN1" s="156"/>
      <c r="AO1" s="156"/>
      <c r="AP1" s="156"/>
      <c r="AQ1" s="156"/>
      <c r="AR1" s="156"/>
      <c r="AS1" s="156"/>
      <c r="AT1" s="156"/>
      <c r="AU1" s="156"/>
      <c r="AV1" s="156"/>
      <c r="AW1" s="156"/>
      <c r="AX1" s="156"/>
      <c r="AY1" s="156"/>
      <c r="AZ1" s="156"/>
      <c r="BA1" s="156"/>
      <c r="BB1" s="156"/>
      <c r="BC1" s="1"/>
      <c r="BD1" s="1"/>
      <c r="BE1" s="2"/>
      <c r="BF1" s="1"/>
      <c r="BG1" s="1"/>
      <c r="BH1" s="1"/>
    </row>
    <row r="2" spans="1:60" s="3" customFormat="1" ht="15" customHeight="1">
      <c r="A2" s="155" t="s">
        <v>144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6"/>
      <c r="AK2" s="156"/>
      <c r="AL2" s="156"/>
      <c r="AM2" s="156"/>
      <c r="AN2" s="156"/>
      <c r="AO2" s="156"/>
      <c r="AP2" s="156"/>
      <c r="AQ2" s="156"/>
      <c r="AR2" s="156"/>
      <c r="AS2" s="156"/>
      <c r="AT2" s="156"/>
      <c r="AU2" s="156"/>
      <c r="AV2" s="156"/>
      <c r="AW2" s="156"/>
      <c r="AX2" s="156"/>
      <c r="AY2" s="156"/>
      <c r="AZ2" s="156"/>
      <c r="BA2" s="156"/>
      <c r="BB2" s="157"/>
      <c r="BC2" s="1"/>
      <c r="BD2" s="1"/>
      <c r="BE2" s="2"/>
      <c r="BF2" s="1"/>
      <c r="BG2" s="1"/>
      <c r="BH2" s="1"/>
    </row>
    <row r="3" spans="1:60" ht="12.95">
      <c r="AW3" s="69"/>
    </row>
    <row r="4" spans="1:60" ht="13.5" customHeight="1"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395" t="s">
        <v>145</v>
      </c>
      <c r="R4" s="395"/>
      <c r="S4" s="395"/>
      <c r="T4" s="395"/>
      <c r="U4" s="395"/>
      <c r="V4" s="395"/>
      <c r="W4" s="395" t="s">
        <v>146</v>
      </c>
      <c r="X4" s="395"/>
      <c r="Y4" s="395"/>
      <c r="Z4" s="395"/>
      <c r="AA4" s="395"/>
      <c r="AB4" s="395" t="s">
        <v>147</v>
      </c>
      <c r="AC4" s="395"/>
      <c r="AD4" s="395"/>
      <c r="AE4" s="395"/>
      <c r="AF4" s="395"/>
      <c r="AG4" s="395" t="s">
        <v>148</v>
      </c>
      <c r="AH4" s="395"/>
      <c r="AI4" s="395"/>
      <c r="AJ4" s="395"/>
      <c r="AK4" s="395"/>
      <c r="AL4" s="395" t="s">
        <v>149</v>
      </c>
      <c r="AM4" s="395"/>
      <c r="AN4" s="395"/>
      <c r="AO4" s="395"/>
      <c r="AP4" s="395"/>
      <c r="AQ4" s="7"/>
      <c r="AR4" s="7"/>
      <c r="AS4" s="91"/>
    </row>
    <row r="5" spans="1:60" ht="14.1">
      <c r="D5" s="84" t="s">
        <v>7</v>
      </c>
      <c r="E5" s="84" t="s">
        <v>8</v>
      </c>
      <c r="F5" s="84" t="s">
        <v>9</v>
      </c>
      <c r="G5" s="84" t="s">
        <v>10</v>
      </c>
      <c r="H5" s="84" t="s">
        <v>11</v>
      </c>
      <c r="I5" s="84" t="s">
        <v>12</v>
      </c>
      <c r="J5" s="84" t="s">
        <v>13</v>
      </c>
      <c r="K5" s="84" t="s">
        <v>14</v>
      </c>
      <c r="L5" s="84" t="s">
        <v>15</v>
      </c>
      <c r="M5" s="84" t="s">
        <v>16</v>
      </c>
      <c r="N5" s="84" t="s">
        <v>17</v>
      </c>
      <c r="O5" s="84" t="s">
        <v>18</v>
      </c>
      <c r="P5" s="322">
        <v>46048</v>
      </c>
      <c r="Q5" s="57" t="s">
        <v>19</v>
      </c>
      <c r="R5" s="57" t="s">
        <v>20</v>
      </c>
      <c r="S5" s="57" t="s">
        <v>21</v>
      </c>
      <c r="T5" s="57" t="s">
        <v>22</v>
      </c>
      <c r="U5" s="57" t="s">
        <v>23</v>
      </c>
      <c r="V5" s="58" t="s">
        <v>150</v>
      </c>
      <c r="W5" s="57" t="s">
        <v>19</v>
      </c>
      <c r="X5" s="57" t="s">
        <v>20</v>
      </c>
      <c r="Y5" s="57" t="s">
        <v>21</v>
      </c>
      <c r="Z5" s="57" t="s">
        <v>22</v>
      </c>
      <c r="AA5" s="58" t="s">
        <v>150</v>
      </c>
      <c r="AB5" s="57" t="s">
        <v>19</v>
      </c>
      <c r="AC5" s="57" t="s">
        <v>20</v>
      </c>
      <c r="AD5" s="57" t="s">
        <v>21</v>
      </c>
      <c r="AE5" s="57" t="s">
        <v>22</v>
      </c>
      <c r="AF5" s="58" t="s">
        <v>150</v>
      </c>
      <c r="AG5" s="57" t="s">
        <v>19</v>
      </c>
      <c r="AH5" s="57" t="s">
        <v>20</v>
      </c>
      <c r="AI5" s="57" t="s">
        <v>21</v>
      </c>
      <c r="AJ5" s="57" t="s">
        <v>22</v>
      </c>
      <c r="AK5" s="58" t="s">
        <v>151</v>
      </c>
      <c r="AL5" s="57" t="s">
        <v>19</v>
      </c>
      <c r="AM5" s="57" t="s">
        <v>20</v>
      </c>
      <c r="AN5" s="57" t="s">
        <v>21</v>
      </c>
      <c r="AO5" s="57" t="s">
        <v>22</v>
      </c>
      <c r="AP5" s="58" t="s">
        <v>152</v>
      </c>
      <c r="AQ5" s="110"/>
      <c r="AR5" s="110"/>
      <c r="AS5" s="92"/>
      <c r="AT5" s="95" t="s">
        <v>153</v>
      </c>
      <c r="AU5" s="95" t="s">
        <v>154</v>
      </c>
      <c r="AV5" s="96"/>
      <c r="AW5" s="95" t="s">
        <v>155</v>
      </c>
      <c r="AX5" s="95" t="s">
        <v>156</v>
      </c>
      <c r="AY5" s="95" t="s">
        <v>157</v>
      </c>
    </row>
    <row r="6" spans="1:60" ht="15">
      <c r="A6" s="392"/>
      <c r="B6" s="176" t="s">
        <v>44</v>
      </c>
      <c r="C6" s="175"/>
      <c r="D6" s="177"/>
      <c r="E6" s="84"/>
      <c r="F6" s="84"/>
      <c r="G6" s="84"/>
      <c r="H6" s="84"/>
      <c r="I6" s="84"/>
      <c r="J6" s="84"/>
      <c r="K6" s="84"/>
      <c r="L6" s="84"/>
      <c r="M6" s="84"/>
      <c r="N6" s="84"/>
      <c r="O6" s="321"/>
      <c r="P6" s="199">
        <v>336</v>
      </c>
      <c r="Q6" s="11">
        <v>1059</v>
      </c>
      <c r="R6" s="237">
        <v>671</v>
      </c>
      <c r="S6" s="237">
        <v>757</v>
      </c>
      <c r="T6" s="194">
        <v>624</v>
      </c>
      <c r="U6" s="175">
        <v>1055</v>
      </c>
      <c r="V6" s="199">
        <f t="shared" ref="V6:V12" si="0">SUM(Q6:U6)</f>
        <v>4166</v>
      </c>
      <c r="W6" s="11">
        <v>1046</v>
      </c>
      <c r="X6" s="237">
        <v>560</v>
      </c>
      <c r="Y6" s="237">
        <v>643</v>
      </c>
      <c r="Z6" s="194">
        <v>277</v>
      </c>
      <c r="AA6" s="199">
        <f>SUM(W6:Z6)</f>
        <v>2526</v>
      </c>
      <c r="AB6" s="11">
        <v>604</v>
      </c>
      <c r="AC6" s="237">
        <v>421</v>
      </c>
      <c r="AD6" s="237">
        <v>210</v>
      </c>
      <c r="AE6" s="194">
        <v>64</v>
      </c>
      <c r="AF6" s="199">
        <f>SUM(AB6:AE6)</f>
        <v>1299</v>
      </c>
      <c r="AG6" s="11">
        <v>98</v>
      </c>
      <c r="AH6" s="237">
        <v>18</v>
      </c>
      <c r="AI6" s="237">
        <v>125</v>
      </c>
      <c r="AJ6" s="194">
        <v>95</v>
      </c>
      <c r="AK6" s="199">
        <f t="shared" ref="AK6:AK11" si="1">SUM(AG6:AJ6)</f>
        <v>336</v>
      </c>
      <c r="AL6" s="11">
        <v>82</v>
      </c>
      <c r="AM6" s="237">
        <v>92</v>
      </c>
      <c r="AN6" s="237"/>
      <c r="AO6" s="194"/>
      <c r="AP6" s="199"/>
      <c r="AQ6" s="311"/>
      <c r="AR6" s="175"/>
      <c r="AS6" s="91"/>
      <c r="AT6" s="175"/>
      <c r="AU6" s="175"/>
      <c r="AV6" s="91"/>
      <c r="AW6" s="34" t="s">
        <v>158</v>
      </c>
      <c r="AX6" s="175"/>
      <c r="AY6" s="95"/>
    </row>
    <row r="7" spans="1:60" ht="15">
      <c r="A7" s="392"/>
      <c r="B7" s="176" t="s">
        <v>46</v>
      </c>
      <c r="C7" s="175"/>
      <c r="D7" s="177"/>
      <c r="E7" s="84"/>
      <c r="F7" s="84"/>
      <c r="G7" s="84"/>
      <c r="H7" s="84"/>
      <c r="I7" s="84"/>
      <c r="J7" s="84"/>
      <c r="K7" s="84"/>
      <c r="L7" s="84"/>
      <c r="M7" s="84"/>
      <c r="N7" s="84"/>
      <c r="O7" s="321"/>
      <c r="P7" s="199">
        <v>2837</v>
      </c>
      <c r="Q7" s="188">
        <v>1509</v>
      </c>
      <c r="R7" s="237">
        <v>1009</v>
      </c>
      <c r="S7" s="237">
        <v>904</v>
      </c>
      <c r="T7" s="194">
        <v>692</v>
      </c>
      <c r="U7" s="175">
        <v>1633</v>
      </c>
      <c r="V7" s="199">
        <f>SUM(Q7:U7)</f>
        <v>5747</v>
      </c>
      <c r="W7" s="188">
        <v>901</v>
      </c>
      <c r="X7" s="237">
        <v>747</v>
      </c>
      <c r="Y7" s="237">
        <v>873</v>
      </c>
      <c r="Z7" s="194">
        <v>155</v>
      </c>
      <c r="AA7" s="199">
        <f t="shared" ref="AA7:AA13" si="2">SUM(W7:Z7)</f>
        <v>2676</v>
      </c>
      <c r="AB7" s="188">
        <v>404</v>
      </c>
      <c r="AC7" s="237">
        <v>341</v>
      </c>
      <c r="AD7" s="237">
        <v>333</v>
      </c>
      <c r="AE7" s="194">
        <v>133</v>
      </c>
      <c r="AF7" s="199">
        <f t="shared" ref="AF7:AF12" si="3">SUM(AB7:AE7)</f>
        <v>1211</v>
      </c>
      <c r="AG7" s="188">
        <v>455</v>
      </c>
      <c r="AH7" s="237">
        <v>274</v>
      </c>
      <c r="AI7" s="237">
        <v>797</v>
      </c>
      <c r="AJ7" s="194">
        <v>1311</v>
      </c>
      <c r="AK7" s="199">
        <f t="shared" si="1"/>
        <v>2837</v>
      </c>
      <c r="AL7" s="188">
        <v>1085</v>
      </c>
      <c r="AM7" s="237">
        <v>1296</v>
      </c>
      <c r="AN7" s="237"/>
      <c r="AO7" s="194"/>
      <c r="AP7" s="199"/>
      <c r="AQ7" s="311"/>
      <c r="AR7" s="175"/>
      <c r="AS7" s="91"/>
      <c r="AT7" s="175"/>
      <c r="AU7" s="175"/>
      <c r="AV7" s="91"/>
      <c r="AW7" s="34" t="s">
        <v>158</v>
      </c>
      <c r="AX7" s="175"/>
      <c r="AY7" s="95"/>
    </row>
    <row r="8" spans="1:60" ht="12.95">
      <c r="A8" s="392" t="s">
        <v>43</v>
      </c>
      <c r="B8" s="29" t="s">
        <v>159</v>
      </c>
      <c r="C8" s="174" t="s">
        <v>160</v>
      </c>
      <c r="D8" s="34" t="s">
        <v>161</v>
      </c>
      <c r="E8" s="34" t="s">
        <v>162</v>
      </c>
      <c r="F8" s="34" t="s">
        <v>163</v>
      </c>
      <c r="G8" s="107">
        <v>1087182</v>
      </c>
      <c r="H8" s="107">
        <v>678195</v>
      </c>
      <c r="I8" s="107">
        <v>1042704.33</v>
      </c>
      <c r="J8" s="107">
        <f>SUM(J9:J11)</f>
        <v>1365736</v>
      </c>
      <c r="K8" s="107">
        <f>SUM(K9:K11)</f>
        <v>720394</v>
      </c>
      <c r="L8" s="107">
        <f>SUM(L9:L11)</f>
        <v>1057295</v>
      </c>
      <c r="M8" s="107">
        <v>850457</v>
      </c>
      <c r="N8" s="199">
        <v>2045325</v>
      </c>
      <c r="O8" s="195">
        <f>SUM(O9:O11)</f>
        <v>963925</v>
      </c>
      <c r="P8" s="323">
        <v>1442285</v>
      </c>
      <c r="Q8" s="107">
        <f>SUM(Q9:Q11)</f>
        <v>255256</v>
      </c>
      <c r="R8" s="107">
        <v>129595</v>
      </c>
      <c r="S8" s="107">
        <v>186422</v>
      </c>
      <c r="T8" s="195">
        <f>SUM(T9:T11)</f>
        <v>92649</v>
      </c>
      <c r="U8" s="107">
        <f>SUM(U9:U11)</f>
        <v>186535</v>
      </c>
      <c r="V8" s="199">
        <f t="shared" si="0"/>
        <v>850457</v>
      </c>
      <c r="W8" s="107">
        <f>SUM(W9:W11)</f>
        <v>488125</v>
      </c>
      <c r="X8" s="107">
        <f>SUM(X9:X11)</f>
        <v>83428</v>
      </c>
      <c r="Y8" s="107">
        <f>SUM(Y9:Y11)</f>
        <v>1436856</v>
      </c>
      <c r="Z8" s="195">
        <f>SUM(Z9:Z11)</f>
        <v>36916</v>
      </c>
      <c r="AA8" s="199">
        <f t="shared" si="2"/>
        <v>2045325</v>
      </c>
      <c r="AB8" s="107">
        <f>SUM(AB9:AB11)</f>
        <v>252088</v>
      </c>
      <c r="AC8" s="107">
        <f>SUM(AC9:AC11)</f>
        <v>256721</v>
      </c>
      <c r="AD8" s="107">
        <f>SUM(AD9:AD11)</f>
        <v>323450</v>
      </c>
      <c r="AE8" s="195">
        <f>SUM(AE9:AE11)</f>
        <v>20346</v>
      </c>
      <c r="AF8" s="199">
        <f t="shared" si="3"/>
        <v>852605</v>
      </c>
      <c r="AG8" s="107">
        <v>139034</v>
      </c>
      <c r="AH8" s="107">
        <f>SUM(AH9:AH11)</f>
        <v>140331</v>
      </c>
      <c r="AI8" s="107">
        <f>SUM(AI9:AI11)</f>
        <v>454705</v>
      </c>
      <c r="AJ8" s="195">
        <f>SUM(AJ9:AJ11)</f>
        <v>708215</v>
      </c>
      <c r="AK8" s="323">
        <f t="shared" si="1"/>
        <v>1442285</v>
      </c>
      <c r="AL8" s="107">
        <f>SUM(AL9:AL11)</f>
        <v>797821</v>
      </c>
      <c r="AM8" s="107">
        <f>SUM(AM9:AM11)</f>
        <v>246655</v>
      </c>
      <c r="AN8" s="107"/>
      <c r="AO8" s="195"/>
      <c r="AP8" s="323"/>
      <c r="AQ8" s="311"/>
      <c r="AR8" s="111"/>
      <c r="AS8" s="93"/>
      <c r="AT8" s="87">
        <v>450000</v>
      </c>
      <c r="AU8" s="100">
        <v>1800000</v>
      </c>
      <c r="AV8" s="93"/>
      <c r="AW8" s="34" t="s">
        <v>158</v>
      </c>
      <c r="AX8" s="227"/>
      <c r="AY8" s="59"/>
    </row>
    <row r="9" spans="1:60" ht="12.75" customHeight="1">
      <c r="A9" s="392"/>
      <c r="B9" s="29" t="s">
        <v>164</v>
      </c>
      <c r="C9" s="29"/>
      <c r="D9" s="34" t="s">
        <v>165</v>
      </c>
      <c r="E9" s="34" t="s">
        <v>166</v>
      </c>
      <c r="F9" s="34" t="s">
        <v>167</v>
      </c>
      <c r="G9" s="107">
        <v>678691</v>
      </c>
      <c r="H9" s="107">
        <v>278012</v>
      </c>
      <c r="I9" s="107">
        <v>672118.89</v>
      </c>
      <c r="J9" s="107">
        <v>994370</v>
      </c>
      <c r="K9" s="107">
        <v>387406</v>
      </c>
      <c r="L9" s="107">
        <v>495744</v>
      </c>
      <c r="M9" s="107">
        <v>402507</v>
      </c>
      <c r="N9" s="199">
        <v>613831</v>
      </c>
      <c r="O9" s="195">
        <v>567290</v>
      </c>
      <c r="P9" s="323">
        <v>732507</v>
      </c>
      <c r="Q9" s="107">
        <v>80246</v>
      </c>
      <c r="R9" s="107">
        <v>74926</v>
      </c>
      <c r="S9" s="107">
        <v>144463</v>
      </c>
      <c r="T9" s="195">
        <v>28786</v>
      </c>
      <c r="U9" s="107">
        <v>74086</v>
      </c>
      <c r="V9" s="199">
        <f t="shared" si="0"/>
        <v>402507</v>
      </c>
      <c r="W9" s="107">
        <v>390799</v>
      </c>
      <c r="X9" s="107">
        <v>28639</v>
      </c>
      <c r="Y9" s="107">
        <v>166187</v>
      </c>
      <c r="Z9" s="195">
        <v>28206</v>
      </c>
      <c r="AA9" s="199">
        <f t="shared" si="2"/>
        <v>613831</v>
      </c>
      <c r="AB9" s="107">
        <v>139553</v>
      </c>
      <c r="AC9" s="107">
        <v>62154</v>
      </c>
      <c r="AD9" s="107">
        <v>264004</v>
      </c>
      <c r="AE9" s="195">
        <v>13951</v>
      </c>
      <c r="AF9" s="199">
        <f t="shared" si="3"/>
        <v>479662</v>
      </c>
      <c r="AG9" s="107">
        <v>41196</v>
      </c>
      <c r="AH9" s="107">
        <v>62598</v>
      </c>
      <c r="AI9" s="107">
        <v>240213</v>
      </c>
      <c r="AJ9" s="195">
        <v>388500</v>
      </c>
      <c r="AK9" s="323">
        <f t="shared" si="1"/>
        <v>732507</v>
      </c>
      <c r="AL9" s="107">
        <v>607159</v>
      </c>
      <c r="AM9" s="107">
        <v>185214</v>
      </c>
      <c r="AN9" s="107"/>
      <c r="AO9" s="195"/>
      <c r="AP9" s="323"/>
      <c r="AQ9" s="311"/>
      <c r="AR9" s="111"/>
      <c r="AS9" s="93"/>
      <c r="AT9" s="34" t="s">
        <v>168</v>
      </c>
      <c r="AU9" s="34" t="s">
        <v>169</v>
      </c>
      <c r="AV9" s="93"/>
      <c r="AW9" s="34" t="s">
        <v>158</v>
      </c>
      <c r="AX9" s="59"/>
      <c r="AY9" s="59"/>
    </row>
    <row r="10" spans="1:60" ht="12.95">
      <c r="A10" s="392"/>
      <c r="B10" s="29" t="s">
        <v>170</v>
      </c>
      <c r="C10" s="29"/>
      <c r="D10" s="34" t="s">
        <v>171</v>
      </c>
      <c r="E10" s="34" t="s">
        <v>172</v>
      </c>
      <c r="F10" s="34" t="s">
        <v>173</v>
      </c>
      <c r="G10" s="107">
        <v>259345</v>
      </c>
      <c r="H10" s="107">
        <v>255450</v>
      </c>
      <c r="I10" s="107">
        <v>247625</v>
      </c>
      <c r="J10" s="107">
        <v>115215</v>
      </c>
      <c r="K10" s="107">
        <v>124523</v>
      </c>
      <c r="L10" s="107">
        <v>447926</v>
      </c>
      <c r="M10" s="107">
        <v>285236</v>
      </c>
      <c r="N10" s="199">
        <v>1214406</v>
      </c>
      <c r="O10" s="195">
        <v>233803</v>
      </c>
      <c r="P10" s="323">
        <v>319477</v>
      </c>
      <c r="Q10" s="107">
        <v>133234</v>
      </c>
      <c r="R10" s="107">
        <v>35020</v>
      </c>
      <c r="S10" s="107">
        <v>27131</v>
      </c>
      <c r="T10" s="195">
        <v>12790</v>
      </c>
      <c r="U10" s="107">
        <v>77061</v>
      </c>
      <c r="V10" s="199">
        <f t="shared" si="0"/>
        <v>285236</v>
      </c>
      <c r="W10" s="107">
        <v>38318</v>
      </c>
      <c r="X10" s="107">
        <v>29100</v>
      </c>
      <c r="Y10" s="107">
        <v>1145048</v>
      </c>
      <c r="Z10" s="195">
        <v>1940</v>
      </c>
      <c r="AA10" s="199">
        <f t="shared" si="2"/>
        <v>1214406</v>
      </c>
      <c r="AB10" s="107">
        <v>30609</v>
      </c>
      <c r="AC10" s="107">
        <v>169346</v>
      </c>
      <c r="AD10" s="107">
        <v>27823</v>
      </c>
      <c r="AE10" s="195">
        <v>500</v>
      </c>
      <c r="AF10" s="199">
        <f t="shared" si="3"/>
        <v>228278</v>
      </c>
      <c r="AG10" s="107">
        <v>55058</v>
      </c>
      <c r="AH10" s="107">
        <v>66950</v>
      </c>
      <c r="AI10" s="107">
        <v>58912</v>
      </c>
      <c r="AJ10" s="195">
        <v>138557</v>
      </c>
      <c r="AK10" s="323">
        <f t="shared" si="1"/>
        <v>319477</v>
      </c>
      <c r="AL10" s="107">
        <v>135631</v>
      </c>
      <c r="AM10" s="107">
        <v>36448</v>
      </c>
      <c r="AN10" s="107"/>
      <c r="AO10" s="195"/>
      <c r="AP10" s="323"/>
      <c r="AQ10" s="311"/>
      <c r="AR10" s="111"/>
      <c r="AS10" s="93"/>
      <c r="AT10" s="34" t="s">
        <v>174</v>
      </c>
      <c r="AU10" s="34" t="s">
        <v>175</v>
      </c>
      <c r="AV10" s="93"/>
      <c r="AW10" s="34" t="s">
        <v>158</v>
      </c>
      <c r="AX10" s="59"/>
      <c r="AY10" s="98"/>
    </row>
    <row r="11" spans="1:60" ht="12.95">
      <c r="A11" s="392"/>
      <c r="B11" s="29" t="s">
        <v>176</v>
      </c>
      <c r="C11" s="29"/>
      <c r="D11" s="34" t="s">
        <v>177</v>
      </c>
      <c r="E11" s="34" t="s">
        <v>178</v>
      </c>
      <c r="F11" s="34" t="s">
        <v>179</v>
      </c>
      <c r="G11" s="107">
        <v>149146</v>
      </c>
      <c r="H11" s="107">
        <v>165037</v>
      </c>
      <c r="I11" s="107">
        <v>122960</v>
      </c>
      <c r="J11" s="107">
        <v>256151</v>
      </c>
      <c r="K11" s="107">
        <v>208465</v>
      </c>
      <c r="L11" s="107">
        <v>113625</v>
      </c>
      <c r="M11" s="107">
        <v>162614</v>
      </c>
      <c r="N11" s="199">
        <v>217088</v>
      </c>
      <c r="O11" s="195">
        <v>162832</v>
      </c>
      <c r="P11" s="323">
        <v>390301</v>
      </c>
      <c r="Q11" s="107">
        <v>41776</v>
      </c>
      <c r="R11" s="107">
        <v>19649</v>
      </c>
      <c r="S11" s="107">
        <v>14728</v>
      </c>
      <c r="T11" s="195">
        <v>51073</v>
      </c>
      <c r="U11" s="107">
        <v>35388</v>
      </c>
      <c r="V11" s="199">
        <f t="shared" si="0"/>
        <v>162614</v>
      </c>
      <c r="W11" s="107">
        <v>59008</v>
      </c>
      <c r="X11" s="107">
        <v>25689</v>
      </c>
      <c r="Y11" s="107">
        <v>125621</v>
      </c>
      <c r="Z11" s="195">
        <v>6770</v>
      </c>
      <c r="AA11" s="199">
        <f t="shared" si="2"/>
        <v>217088</v>
      </c>
      <c r="AB11" s="107">
        <v>81926</v>
      </c>
      <c r="AC11" s="107">
        <v>25221</v>
      </c>
      <c r="AD11" s="107">
        <v>31623</v>
      </c>
      <c r="AE11" s="195">
        <v>5895</v>
      </c>
      <c r="AF11" s="199">
        <f t="shared" si="3"/>
        <v>144665</v>
      </c>
      <c r="AG11" s="107">
        <v>42780</v>
      </c>
      <c r="AH11" s="107">
        <v>10783</v>
      </c>
      <c r="AI11" s="107">
        <v>155580</v>
      </c>
      <c r="AJ11" s="195">
        <v>181158</v>
      </c>
      <c r="AK11" s="323">
        <f t="shared" si="1"/>
        <v>390301</v>
      </c>
      <c r="AL11" s="107">
        <v>55031</v>
      </c>
      <c r="AM11" s="107">
        <v>24993</v>
      </c>
      <c r="AN11" s="107"/>
      <c r="AO11" s="195"/>
      <c r="AP11" s="323"/>
      <c r="AQ11" s="311"/>
      <c r="AR11" s="111"/>
      <c r="AS11" s="93"/>
      <c r="AT11" s="34" t="s">
        <v>180</v>
      </c>
      <c r="AU11" s="34" t="s">
        <v>181</v>
      </c>
      <c r="AV11" s="93"/>
      <c r="AW11" s="34" t="s">
        <v>158</v>
      </c>
      <c r="AX11" s="59"/>
      <c r="AY11" s="98"/>
    </row>
    <row r="12" spans="1:60" ht="12.75" customHeight="1">
      <c r="A12" s="392"/>
      <c r="B12" s="29"/>
      <c r="C12" s="29"/>
      <c r="D12" s="34"/>
      <c r="E12" s="34"/>
      <c r="F12" s="34"/>
      <c r="G12" s="107">
        <v>0</v>
      </c>
      <c r="H12" s="107">
        <v>0</v>
      </c>
      <c r="I12" s="107"/>
      <c r="J12" s="107"/>
      <c r="K12" s="107"/>
      <c r="L12" s="107"/>
      <c r="M12" s="199">
        <v>0</v>
      </c>
      <c r="N12" s="107"/>
      <c r="O12" s="195"/>
      <c r="P12" s="323"/>
      <c r="Q12" s="107"/>
      <c r="R12" s="107"/>
      <c r="S12" s="107"/>
      <c r="T12" s="195"/>
      <c r="U12" s="107"/>
      <c r="V12" s="199">
        <f t="shared" si="0"/>
        <v>0</v>
      </c>
      <c r="W12" s="107"/>
      <c r="X12" s="107"/>
      <c r="Y12" s="107"/>
      <c r="Z12" s="195"/>
      <c r="AA12" s="199">
        <f t="shared" si="2"/>
        <v>0</v>
      </c>
      <c r="AB12" s="107"/>
      <c r="AC12" s="107"/>
      <c r="AD12" s="107"/>
      <c r="AE12" s="195"/>
      <c r="AF12" s="199">
        <f t="shared" si="3"/>
        <v>0</v>
      </c>
      <c r="AG12" s="107"/>
      <c r="AH12" s="107"/>
      <c r="AI12" s="107"/>
      <c r="AJ12" s="195"/>
      <c r="AK12" s="323"/>
      <c r="AL12" s="107"/>
      <c r="AM12" s="107"/>
      <c r="AN12" s="107"/>
      <c r="AO12" s="195"/>
      <c r="AP12" s="323"/>
      <c r="AQ12" s="311"/>
      <c r="AR12" s="111"/>
      <c r="AS12" s="52"/>
      <c r="AT12" s="34"/>
      <c r="AU12" s="34"/>
      <c r="AV12" s="93"/>
      <c r="AW12" s="34"/>
      <c r="AX12" s="59"/>
      <c r="AY12" s="59"/>
    </row>
    <row r="13" spans="1:60" ht="12.95">
      <c r="A13" s="392"/>
      <c r="B13" s="29" t="s">
        <v>182</v>
      </c>
      <c r="C13" s="29"/>
      <c r="D13" s="34" t="s">
        <v>183</v>
      </c>
      <c r="E13" s="34" t="s">
        <v>184</v>
      </c>
      <c r="F13" s="34" t="s">
        <v>185</v>
      </c>
      <c r="G13" s="107">
        <v>319586</v>
      </c>
      <c r="H13" s="107">
        <v>196103</v>
      </c>
      <c r="I13" s="107">
        <v>355490</v>
      </c>
      <c r="J13" s="107">
        <v>254418</v>
      </c>
      <c r="K13" s="107">
        <v>199523</v>
      </c>
      <c r="L13" s="107">
        <v>387389.73</v>
      </c>
      <c r="M13" s="107">
        <v>429411.88</v>
      </c>
      <c r="N13" s="199">
        <v>334764.82</v>
      </c>
      <c r="O13" s="195">
        <v>587841.35</v>
      </c>
      <c r="P13" s="364">
        <v>239281.6</v>
      </c>
      <c r="Q13" s="107">
        <v>43238.21</v>
      </c>
      <c r="R13" s="107">
        <v>36394</v>
      </c>
      <c r="S13" s="107">
        <v>74324</v>
      </c>
      <c r="T13" s="195">
        <v>85456.81</v>
      </c>
      <c r="U13" s="107">
        <v>189998.86</v>
      </c>
      <c r="V13" s="107">
        <f>SUM(Q13:U13)</f>
        <v>429411.88</v>
      </c>
      <c r="W13" s="107">
        <v>31523</v>
      </c>
      <c r="X13" s="107">
        <v>146674</v>
      </c>
      <c r="Y13" s="107">
        <v>118374</v>
      </c>
      <c r="Z13" s="195">
        <v>38193.82</v>
      </c>
      <c r="AA13" s="199">
        <f t="shared" si="2"/>
        <v>334764.82</v>
      </c>
      <c r="AB13" s="107">
        <v>131662</v>
      </c>
      <c r="AC13" s="107">
        <v>7285</v>
      </c>
      <c r="AD13" s="107">
        <v>399048</v>
      </c>
      <c r="AE13" s="195">
        <v>49846</v>
      </c>
      <c r="AF13" s="199">
        <v>587841</v>
      </c>
      <c r="AG13" s="107">
        <v>26951</v>
      </c>
      <c r="AH13" s="107">
        <v>14592</v>
      </c>
      <c r="AI13" s="107">
        <v>59337</v>
      </c>
      <c r="AJ13" s="195">
        <v>138401.60000000001</v>
      </c>
      <c r="AK13" s="364">
        <f>SUM(AG13:AJ13)</f>
        <v>239281.6</v>
      </c>
      <c r="AL13" s="381">
        <v>120600</v>
      </c>
      <c r="AM13" s="381">
        <v>81489</v>
      </c>
      <c r="AN13" s="107"/>
      <c r="AO13" s="195"/>
      <c r="AP13" s="364"/>
      <c r="AQ13" s="311"/>
      <c r="AR13" s="111"/>
      <c r="AS13" s="52"/>
      <c r="AT13" s="34"/>
      <c r="AU13" s="34" t="s">
        <v>186</v>
      </c>
      <c r="AV13" s="93"/>
      <c r="AW13" s="34" t="s">
        <v>158</v>
      </c>
      <c r="AX13" s="106">
        <f>V13/AU13</f>
        <v>0.60455938357485473</v>
      </c>
      <c r="AY13" s="98"/>
    </row>
    <row r="14" spans="1:60" ht="12.75" customHeight="1">
      <c r="A14" s="392"/>
      <c r="B14" s="29" t="s">
        <v>187</v>
      </c>
      <c r="C14" s="29"/>
      <c r="D14" s="34"/>
      <c r="E14" s="34" t="s">
        <v>188</v>
      </c>
      <c r="F14" s="34" t="s">
        <v>189</v>
      </c>
      <c r="G14" s="107" t="s">
        <v>190</v>
      </c>
      <c r="H14" s="107">
        <v>326430</v>
      </c>
      <c r="I14" s="34"/>
      <c r="J14" s="107"/>
      <c r="K14" s="107">
        <v>155000</v>
      </c>
      <c r="L14" s="107">
        <v>276000</v>
      </c>
      <c r="M14" s="107">
        <v>422785.81</v>
      </c>
      <c r="N14" s="107">
        <v>193744</v>
      </c>
      <c r="O14" s="195"/>
      <c r="P14" s="365">
        <v>117000</v>
      </c>
      <c r="Q14" s="107"/>
      <c r="R14" s="107"/>
      <c r="S14" s="107"/>
      <c r="T14" s="107"/>
      <c r="U14" s="107"/>
      <c r="V14" s="107"/>
      <c r="W14" s="107">
        <v>193744</v>
      </c>
      <c r="X14" s="107">
        <v>193744</v>
      </c>
      <c r="Y14" s="107">
        <v>193744</v>
      </c>
      <c r="Z14" s="107">
        <v>193744</v>
      </c>
      <c r="AA14" s="199"/>
      <c r="AB14" s="107">
        <v>260000</v>
      </c>
      <c r="AC14" s="107">
        <v>260000</v>
      </c>
      <c r="AD14" s="107">
        <v>275625</v>
      </c>
      <c r="AE14" s="107">
        <v>275625</v>
      </c>
      <c r="AF14" s="199"/>
      <c r="AG14" s="107">
        <v>117000</v>
      </c>
      <c r="AH14" s="107">
        <v>117000</v>
      </c>
      <c r="AI14" s="107">
        <v>117000</v>
      </c>
      <c r="AJ14" s="107">
        <v>117000</v>
      </c>
      <c r="AK14" s="379">
        <v>117000</v>
      </c>
      <c r="AL14" s="378">
        <v>325000</v>
      </c>
      <c r="AM14" s="378">
        <v>325000</v>
      </c>
      <c r="AN14" s="380"/>
      <c r="AO14" s="107"/>
      <c r="AP14" s="365"/>
      <c r="AQ14" s="311"/>
      <c r="AR14" s="111"/>
      <c r="AS14" s="52"/>
      <c r="AT14" s="34"/>
      <c r="AU14" s="34"/>
      <c r="AV14" s="93"/>
      <c r="AW14" s="34" t="s">
        <v>158</v>
      </c>
      <c r="AX14" s="59"/>
      <c r="AY14" s="59"/>
    </row>
    <row r="15" spans="1:60" ht="12.95">
      <c r="AW15" s="69"/>
    </row>
    <row r="16" spans="1:60" ht="12.95"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52"/>
      <c r="AT16" s="31"/>
      <c r="AU16" s="31"/>
      <c r="AV16" s="52"/>
      <c r="AW16" s="79"/>
    </row>
    <row r="17" spans="1:53" ht="13.5" customHeight="1">
      <c r="A17" s="396" t="s">
        <v>191</v>
      </c>
      <c r="B17" s="29" t="s">
        <v>192</v>
      </c>
      <c r="C17" s="29"/>
      <c r="D17" s="34"/>
      <c r="E17" s="34">
        <v>20</v>
      </c>
      <c r="F17" s="191">
        <v>39</v>
      </c>
      <c r="G17" s="191">
        <v>27</v>
      </c>
      <c r="H17" s="191">
        <v>27</v>
      </c>
      <c r="I17" s="191">
        <v>20</v>
      </c>
      <c r="J17" s="34">
        <v>13</v>
      </c>
      <c r="K17" s="34">
        <v>18</v>
      </c>
      <c r="L17" s="34"/>
      <c r="M17" s="34"/>
      <c r="N17" s="34"/>
      <c r="O17" s="29"/>
      <c r="P17" s="29"/>
      <c r="Q17" s="178"/>
      <c r="R17" s="178"/>
      <c r="S17" s="178"/>
      <c r="T17" s="178">
        <v>3</v>
      </c>
      <c r="U17" s="178">
        <v>2</v>
      </c>
      <c r="V17" s="178"/>
      <c r="W17" s="178">
        <v>8</v>
      </c>
      <c r="X17" s="178">
        <v>1</v>
      </c>
      <c r="Y17" s="178">
        <v>8</v>
      </c>
      <c r="Z17" s="178">
        <v>3</v>
      </c>
      <c r="AA17" s="178"/>
      <c r="AB17" s="178">
        <v>8</v>
      </c>
      <c r="AC17" s="178">
        <v>4</v>
      </c>
      <c r="AD17" s="178">
        <v>5</v>
      </c>
      <c r="AE17" s="178">
        <v>0</v>
      </c>
      <c r="AF17" s="178"/>
      <c r="AG17" s="178">
        <v>6</v>
      </c>
      <c r="AH17" s="178">
        <v>3</v>
      </c>
      <c r="AI17" s="178">
        <v>5</v>
      </c>
      <c r="AJ17" s="178">
        <v>2</v>
      </c>
      <c r="AK17" s="178">
        <f>SUM(AG17:AJ17)</f>
        <v>16</v>
      </c>
      <c r="AL17" s="178">
        <v>3</v>
      </c>
      <c r="AM17" s="178">
        <v>4</v>
      </c>
      <c r="AN17" s="178"/>
      <c r="AO17" s="178"/>
      <c r="AP17" s="178"/>
      <c r="AQ17" s="198"/>
      <c r="AR17" s="31"/>
      <c r="AS17" s="52"/>
      <c r="AT17" s="34">
        <v>250</v>
      </c>
      <c r="AU17" s="34"/>
      <c r="AV17" s="93"/>
      <c r="AW17" s="191" t="s">
        <v>193</v>
      </c>
      <c r="AX17" s="59"/>
      <c r="AY17" s="98" t="s">
        <v>194</v>
      </c>
    </row>
    <row r="18" spans="1:53" ht="12.95">
      <c r="A18" s="396"/>
      <c r="B18" s="29" t="s">
        <v>195</v>
      </c>
      <c r="C18" s="29"/>
      <c r="D18" s="87" t="s">
        <v>196</v>
      </c>
      <c r="E18" s="87" t="s">
        <v>197</v>
      </c>
      <c r="F18" s="253" t="s">
        <v>198</v>
      </c>
      <c r="G18" s="253" t="s">
        <v>199</v>
      </c>
      <c r="H18" s="253" t="s">
        <v>200</v>
      </c>
      <c r="I18" s="253" t="s">
        <v>201</v>
      </c>
      <c r="J18" s="87" t="s">
        <v>202</v>
      </c>
      <c r="K18" s="87" t="s">
        <v>203</v>
      </c>
      <c r="L18" s="87" t="s">
        <v>204</v>
      </c>
      <c r="M18" s="87" t="s">
        <v>205</v>
      </c>
      <c r="N18" s="87" t="s">
        <v>206</v>
      </c>
      <c r="O18" s="252" t="str">
        <f>AF18</f>
        <v>4.3 / ↓38%</v>
      </c>
      <c r="P18" s="252"/>
      <c r="Q18" s="178"/>
      <c r="R18" s="178"/>
      <c r="S18" s="178"/>
      <c r="T18" s="178"/>
      <c r="U18" s="178"/>
      <c r="V18" s="178"/>
      <c r="W18" s="87">
        <v>436</v>
      </c>
      <c r="X18" s="87">
        <v>476</v>
      </c>
      <c r="Y18" s="87">
        <v>487</v>
      </c>
      <c r="Z18" s="87">
        <v>944</v>
      </c>
      <c r="AA18" s="87">
        <f>SUM(W18:Z18)</f>
        <v>2343</v>
      </c>
      <c r="AB18" s="87" t="s">
        <v>207</v>
      </c>
      <c r="AC18" s="87" t="s">
        <v>208</v>
      </c>
      <c r="AD18" s="87" t="s">
        <v>209</v>
      </c>
      <c r="AE18" s="87" t="s">
        <v>210</v>
      </c>
      <c r="AF18" s="87" t="s">
        <v>211</v>
      </c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312"/>
      <c r="AR18" s="31"/>
      <c r="AS18" s="52"/>
      <c r="AT18" s="34">
        <v>250</v>
      </c>
      <c r="AU18" s="34"/>
      <c r="AV18" s="93"/>
      <c r="AW18" s="179" t="s">
        <v>212</v>
      </c>
      <c r="AX18" s="59"/>
      <c r="AY18" s="98" t="s">
        <v>213</v>
      </c>
    </row>
    <row r="19" spans="1:53" ht="12.95">
      <c r="A19" s="396"/>
      <c r="B19" s="90" t="s">
        <v>214</v>
      </c>
      <c r="C19" s="29" t="s">
        <v>215</v>
      </c>
      <c r="D19" s="34"/>
      <c r="E19" s="34" t="s">
        <v>216</v>
      </c>
      <c r="F19" s="191"/>
      <c r="G19" s="191"/>
      <c r="H19" s="191"/>
      <c r="I19" s="191"/>
      <c r="J19" s="34"/>
      <c r="K19" s="34"/>
      <c r="L19" s="34"/>
      <c r="M19" s="34"/>
      <c r="N19" s="34"/>
      <c r="O19" s="29"/>
      <c r="P19" s="29"/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  <c r="AD19" s="178"/>
      <c r="AE19" s="178"/>
      <c r="AF19" s="178"/>
      <c r="AG19" s="178"/>
      <c r="AH19" s="178"/>
      <c r="AI19" s="178"/>
      <c r="AJ19" s="178"/>
      <c r="AK19" s="178"/>
      <c r="AL19" s="178"/>
      <c r="AM19" s="178"/>
      <c r="AN19" s="178"/>
      <c r="AO19" s="178"/>
      <c r="AP19" s="178"/>
      <c r="AQ19" s="198"/>
      <c r="AR19" s="31"/>
      <c r="AS19" s="52"/>
      <c r="AT19" s="34" t="s">
        <v>217</v>
      </c>
      <c r="AU19" s="34"/>
      <c r="AV19" s="93"/>
      <c r="AW19" s="191" t="s">
        <v>212</v>
      </c>
      <c r="AX19" s="59"/>
      <c r="AY19" s="98" t="s">
        <v>213</v>
      </c>
    </row>
    <row r="20" spans="1:53" ht="12.95">
      <c r="A20" s="396"/>
      <c r="B20" s="90"/>
      <c r="C20" s="29" t="s">
        <v>218</v>
      </c>
      <c r="D20" s="34"/>
      <c r="E20" s="34" t="s">
        <v>219</v>
      </c>
      <c r="F20" s="191"/>
      <c r="G20" s="191"/>
      <c r="H20" s="191"/>
      <c r="I20" s="191"/>
      <c r="J20" s="34"/>
      <c r="K20" s="34"/>
      <c r="L20" s="34"/>
      <c r="M20" s="34"/>
      <c r="N20" s="34"/>
      <c r="O20" s="29"/>
      <c r="P20" s="29"/>
      <c r="Q20" s="178"/>
      <c r="R20" s="178"/>
      <c r="S20" s="178"/>
      <c r="T20" s="178"/>
      <c r="U20" s="178"/>
      <c r="V20" s="178"/>
      <c r="W20" s="178"/>
      <c r="X20" s="178"/>
      <c r="Y20" s="178"/>
      <c r="Z20" s="178"/>
      <c r="AA20" s="178"/>
      <c r="AB20" s="178"/>
      <c r="AC20" s="178"/>
      <c r="AD20" s="178"/>
      <c r="AE20" s="178"/>
      <c r="AF20" s="178"/>
      <c r="AG20" s="178"/>
      <c r="AH20" s="178"/>
      <c r="AI20" s="178"/>
      <c r="AJ20" s="178"/>
      <c r="AK20" s="178"/>
      <c r="AL20" s="178"/>
      <c r="AM20" s="178"/>
      <c r="AN20" s="178"/>
      <c r="AO20" s="178"/>
      <c r="AP20" s="178"/>
      <c r="AQ20" s="198"/>
      <c r="AR20" s="31"/>
      <c r="AS20" s="52"/>
      <c r="AT20" s="34" t="s">
        <v>217</v>
      </c>
      <c r="AU20" s="34"/>
      <c r="AV20" s="93"/>
      <c r="AW20" s="191" t="s">
        <v>212</v>
      </c>
      <c r="AX20" s="59"/>
      <c r="AY20" s="98" t="s">
        <v>213</v>
      </c>
    </row>
    <row r="21" spans="1:53" ht="12.95">
      <c r="B21" s="11" t="s">
        <v>220</v>
      </c>
      <c r="Q21" s="198"/>
      <c r="R21" s="198"/>
      <c r="S21" s="198"/>
      <c r="T21" s="198"/>
      <c r="U21" s="198"/>
      <c r="V21" s="198"/>
      <c r="W21" s="198"/>
      <c r="X21" s="198"/>
      <c r="Y21" s="198"/>
      <c r="Z21" s="198"/>
      <c r="AA21" s="198"/>
      <c r="AB21" s="198"/>
      <c r="AC21" s="198"/>
      <c r="AD21" s="198"/>
      <c r="AE21" s="198"/>
      <c r="AF21" s="198"/>
      <c r="AG21" s="198"/>
      <c r="AH21" s="198"/>
      <c r="AI21" s="198"/>
      <c r="AJ21" s="198"/>
      <c r="AK21" s="198"/>
      <c r="AL21" s="198"/>
      <c r="AM21" s="198"/>
      <c r="AN21" s="198"/>
      <c r="AO21" s="198"/>
      <c r="AP21" s="198"/>
      <c r="AQ21" s="198"/>
      <c r="AW21" s="69"/>
    </row>
    <row r="22" spans="1:53" ht="12.95">
      <c r="A22" s="392" t="s">
        <v>221</v>
      </c>
      <c r="B22" s="29" t="s">
        <v>222</v>
      </c>
      <c r="C22" s="34"/>
      <c r="D22" s="179">
        <v>236</v>
      </c>
      <c r="E22" s="179">
        <v>434</v>
      </c>
      <c r="F22" s="179">
        <v>424</v>
      </c>
      <c r="G22" s="179">
        <v>444</v>
      </c>
      <c r="H22" s="179">
        <v>414</v>
      </c>
      <c r="I22" s="179">
        <v>486</v>
      </c>
      <c r="J22" s="228">
        <v>209</v>
      </c>
      <c r="K22" s="179">
        <v>244</v>
      </c>
      <c r="L22" s="179">
        <v>247</v>
      </c>
      <c r="M22" s="179">
        <v>139</v>
      </c>
      <c r="N22" s="179">
        <v>163</v>
      </c>
      <c r="O22" s="179">
        <v>192</v>
      </c>
      <c r="P22" s="179">
        <v>153</v>
      </c>
      <c r="Q22" s="213">
        <f>15+19</f>
        <v>34</v>
      </c>
      <c r="R22" s="214">
        <v>19</v>
      </c>
      <c r="S22" s="214">
        <v>31</v>
      </c>
      <c r="T22" s="214">
        <v>55</v>
      </c>
      <c r="U22" s="214"/>
      <c r="V22" s="164">
        <f>SUM(Q22:U22)</f>
        <v>139</v>
      </c>
      <c r="W22" s="213">
        <v>85</v>
      </c>
      <c r="X22" s="214">
        <v>34</v>
      </c>
      <c r="Y22" s="214">
        <v>36</v>
      </c>
      <c r="Z22" s="214">
        <v>6</v>
      </c>
      <c r="AA22" s="164">
        <f>SUM(W22:Z22)</f>
        <v>161</v>
      </c>
      <c r="AB22" s="213">
        <v>77</v>
      </c>
      <c r="AC22" s="214">
        <v>47</v>
      </c>
      <c r="AD22" s="214">
        <v>52</v>
      </c>
      <c r="AE22" s="214">
        <v>12</v>
      </c>
      <c r="AF22" s="164">
        <f>SUM(AB22:AE22)</f>
        <v>188</v>
      </c>
      <c r="AG22" s="366">
        <v>45</v>
      </c>
      <c r="AH22" s="367">
        <v>33</v>
      </c>
      <c r="AI22" s="367">
        <v>45</v>
      </c>
      <c r="AJ22" s="367">
        <v>30</v>
      </c>
      <c r="AK22" s="366">
        <f>SUM(AG22:AJ22)</f>
        <v>153</v>
      </c>
      <c r="AL22" s="366">
        <v>30</v>
      </c>
      <c r="AM22" s="367">
        <v>20</v>
      </c>
      <c r="AN22" s="367"/>
      <c r="AO22" s="367"/>
      <c r="AP22" s="366">
        <f>SUM(AL22:AO22)</f>
        <v>50</v>
      </c>
      <c r="AQ22" s="313"/>
      <c r="AR22" s="79"/>
      <c r="AS22" s="93"/>
      <c r="AT22" s="34"/>
      <c r="AU22" s="34"/>
      <c r="AV22" s="93"/>
      <c r="AW22" s="34" t="s">
        <v>223</v>
      </c>
      <c r="AX22" s="59"/>
      <c r="AY22" s="59"/>
    </row>
    <row r="23" spans="1:53" s="83" customFormat="1" ht="12.95">
      <c r="A23" s="392"/>
      <c r="B23" s="85" t="s">
        <v>224</v>
      </c>
      <c r="C23" s="86"/>
      <c r="D23" s="229">
        <v>274</v>
      </c>
      <c r="E23" s="229">
        <v>386</v>
      </c>
      <c r="F23" s="229">
        <v>381</v>
      </c>
      <c r="G23" s="229">
        <v>426</v>
      </c>
      <c r="H23" s="229">
        <v>394</v>
      </c>
      <c r="I23" s="229">
        <v>372</v>
      </c>
      <c r="J23" s="229">
        <v>307</v>
      </c>
      <c r="K23" s="229">
        <v>272</v>
      </c>
      <c r="L23" s="229">
        <v>348</v>
      </c>
      <c r="M23" s="229">
        <v>348</v>
      </c>
      <c r="N23" s="229">
        <v>208</v>
      </c>
      <c r="O23" s="229">
        <v>180</v>
      </c>
      <c r="P23" s="229">
        <v>196</v>
      </c>
      <c r="Q23" s="217">
        <v>87</v>
      </c>
      <c r="R23" s="217">
        <v>87</v>
      </c>
      <c r="S23" s="217">
        <v>87</v>
      </c>
      <c r="T23" s="217">
        <v>87</v>
      </c>
      <c r="U23" s="217"/>
      <c r="V23" s="161">
        <f>SUM(Q23:U23)</f>
        <v>348</v>
      </c>
      <c r="W23" s="217">
        <v>52</v>
      </c>
      <c r="X23" s="217">
        <v>52</v>
      </c>
      <c r="Y23" s="217">
        <v>52</v>
      </c>
      <c r="Z23" s="217">
        <v>52</v>
      </c>
      <c r="AA23" s="161">
        <f>SUM(W23:Z23)</f>
        <v>208</v>
      </c>
      <c r="AB23" s="217">
        <v>45</v>
      </c>
      <c r="AC23" s="217">
        <v>45</v>
      </c>
      <c r="AD23" s="217">
        <v>45</v>
      </c>
      <c r="AE23" s="217">
        <v>45</v>
      </c>
      <c r="AF23" s="161">
        <f>SUM(AB23:AE23)</f>
        <v>180</v>
      </c>
      <c r="AG23" s="368">
        <f>$AK$23/4</f>
        <v>49</v>
      </c>
      <c r="AH23" s="368">
        <f>$AK$23/4</f>
        <v>49</v>
      </c>
      <c r="AI23" s="368">
        <f>$AK$23/4</f>
        <v>49</v>
      </c>
      <c r="AJ23" s="368">
        <f>$AK$23/4</f>
        <v>49</v>
      </c>
      <c r="AK23" s="368">
        <v>196</v>
      </c>
      <c r="AL23" s="368">
        <v>52</v>
      </c>
      <c r="AM23" s="368">
        <v>52</v>
      </c>
      <c r="AN23" s="368">
        <v>52</v>
      </c>
      <c r="AO23" s="368">
        <v>53</v>
      </c>
      <c r="AP23" s="368">
        <v>209</v>
      </c>
      <c r="AQ23" s="314"/>
      <c r="AR23" s="112"/>
      <c r="AS23" s="94"/>
      <c r="AT23" s="86">
        <v>52</v>
      </c>
      <c r="AU23" s="161">
        <v>208</v>
      </c>
      <c r="AV23" s="94"/>
      <c r="AW23" s="34" t="s">
        <v>223</v>
      </c>
      <c r="AX23" s="99"/>
      <c r="AY23" s="59"/>
    </row>
    <row r="24" spans="1:53" s="83" customFormat="1" ht="12.95">
      <c r="A24" s="392"/>
      <c r="B24" s="29" t="s">
        <v>225</v>
      </c>
      <c r="C24" s="86"/>
      <c r="D24" s="179">
        <v>21</v>
      </c>
      <c r="E24" s="179">
        <v>30</v>
      </c>
      <c r="F24" s="179">
        <v>46</v>
      </c>
      <c r="G24" s="179">
        <v>50</v>
      </c>
      <c r="H24" s="179">
        <v>28</v>
      </c>
      <c r="I24" s="179">
        <v>40</v>
      </c>
      <c r="J24" s="228">
        <v>23</v>
      </c>
      <c r="K24" s="229">
        <v>17</v>
      </c>
      <c r="L24" s="229">
        <v>45</v>
      </c>
      <c r="M24" s="229">
        <v>31</v>
      </c>
      <c r="N24" s="229">
        <v>24</v>
      </c>
      <c r="O24" s="229">
        <v>18</v>
      </c>
      <c r="P24" s="229">
        <v>36</v>
      </c>
      <c r="Q24" s="214">
        <v>12</v>
      </c>
      <c r="R24" s="214">
        <v>10</v>
      </c>
      <c r="S24" s="214">
        <v>3</v>
      </c>
      <c r="T24" s="214">
        <v>4</v>
      </c>
      <c r="U24" s="214"/>
      <c r="V24" s="164">
        <f>SUM(Q24:U24)</f>
        <v>29</v>
      </c>
      <c r="W24" s="214">
        <v>11</v>
      </c>
      <c r="X24" s="214">
        <v>3</v>
      </c>
      <c r="Y24" s="214">
        <v>9</v>
      </c>
      <c r="Z24" s="214">
        <v>1</v>
      </c>
      <c r="AA24" s="164">
        <f>SUM(W24:Z24)</f>
        <v>24</v>
      </c>
      <c r="AB24" s="214">
        <v>5</v>
      </c>
      <c r="AC24" s="214">
        <v>5</v>
      </c>
      <c r="AD24" s="214">
        <v>7</v>
      </c>
      <c r="AE24" s="214">
        <v>1</v>
      </c>
      <c r="AF24" s="164">
        <f>SUM(AB24:AE24)</f>
        <v>18</v>
      </c>
      <c r="AG24" s="366">
        <v>9</v>
      </c>
      <c r="AH24" s="367">
        <v>4</v>
      </c>
      <c r="AI24" s="367">
        <v>7</v>
      </c>
      <c r="AJ24" s="367">
        <v>16</v>
      </c>
      <c r="AK24" s="366">
        <f>SUM(AG24:AJ24)</f>
        <v>36</v>
      </c>
      <c r="AL24" s="366">
        <v>7</v>
      </c>
      <c r="AM24" s="367">
        <v>3</v>
      </c>
      <c r="AN24" s="367"/>
      <c r="AO24" s="367"/>
      <c r="AP24" s="366">
        <f>SUM(AL24:AO24)</f>
        <v>10</v>
      </c>
      <c r="AQ24" s="313"/>
      <c r="AR24" s="112"/>
      <c r="AS24" s="94"/>
      <c r="AT24" s="86"/>
      <c r="AU24" s="161"/>
      <c r="AV24" s="94"/>
      <c r="AW24" s="34" t="s">
        <v>223</v>
      </c>
      <c r="AX24" s="99"/>
      <c r="AY24" s="59"/>
    </row>
    <row r="25" spans="1:53" s="83" customFormat="1" ht="12.95">
      <c r="A25" s="392"/>
      <c r="B25" s="85" t="s">
        <v>226</v>
      </c>
      <c r="C25" s="86"/>
      <c r="D25" s="229">
        <v>55</v>
      </c>
      <c r="E25" s="229">
        <v>77</v>
      </c>
      <c r="F25" s="229">
        <v>76</v>
      </c>
      <c r="G25" s="229">
        <v>85</v>
      </c>
      <c r="H25" s="229">
        <v>79</v>
      </c>
      <c r="I25" s="229">
        <v>74</v>
      </c>
      <c r="J25" s="229">
        <v>61</v>
      </c>
      <c r="K25" s="229">
        <v>54</v>
      </c>
      <c r="L25" s="229">
        <v>84</v>
      </c>
      <c r="M25" s="229">
        <v>72</v>
      </c>
      <c r="N25" s="229">
        <v>52</v>
      </c>
      <c r="O25" s="229">
        <v>45</v>
      </c>
      <c r="P25" s="229">
        <v>49</v>
      </c>
      <c r="Q25" s="218">
        <v>18</v>
      </c>
      <c r="R25" s="218">
        <v>18</v>
      </c>
      <c r="S25" s="218">
        <v>18</v>
      </c>
      <c r="T25" s="218">
        <v>18</v>
      </c>
      <c r="U25" s="217"/>
      <c r="V25" s="161">
        <f>SUM(Q25:U25)</f>
        <v>72</v>
      </c>
      <c r="W25" s="218">
        <v>13</v>
      </c>
      <c r="X25" s="218">
        <v>13</v>
      </c>
      <c r="Y25" s="218">
        <v>13</v>
      </c>
      <c r="Z25" s="218">
        <v>13</v>
      </c>
      <c r="AA25" s="161">
        <f>SUM(W25:Z25)</f>
        <v>52</v>
      </c>
      <c r="AB25" s="218">
        <v>11</v>
      </c>
      <c r="AC25" s="218">
        <v>11</v>
      </c>
      <c r="AD25" s="218">
        <v>11</v>
      </c>
      <c r="AE25" s="218">
        <v>11</v>
      </c>
      <c r="AF25" s="161">
        <f>SUM(AB25:AE25)</f>
        <v>44</v>
      </c>
      <c r="AG25" s="368">
        <f>$AK$25/4</f>
        <v>12.25</v>
      </c>
      <c r="AH25" s="368">
        <f>$AK$25/4</f>
        <v>12.25</v>
      </c>
      <c r="AI25" s="368">
        <f>$AK$25/4</f>
        <v>12.25</v>
      </c>
      <c r="AJ25" s="368">
        <f>$AK$25/4</f>
        <v>12.25</v>
      </c>
      <c r="AK25" s="368">
        <v>49</v>
      </c>
      <c r="AL25" s="368">
        <v>13</v>
      </c>
      <c r="AM25" s="368">
        <v>13</v>
      </c>
      <c r="AN25" s="368">
        <v>13</v>
      </c>
      <c r="AO25" s="368">
        <v>13</v>
      </c>
      <c r="AP25" s="368">
        <v>52</v>
      </c>
      <c r="AQ25" s="314"/>
      <c r="AR25" s="112"/>
      <c r="AS25" s="94"/>
      <c r="AT25" s="240">
        <v>13</v>
      </c>
      <c r="AU25" s="241">
        <v>52</v>
      </c>
      <c r="AV25" s="94"/>
      <c r="AW25" s="34" t="s">
        <v>223</v>
      </c>
      <c r="AX25" s="99"/>
      <c r="AY25" s="59"/>
    </row>
    <row r="26" spans="1:53" s="83" customFormat="1" ht="12.95">
      <c r="A26" s="392"/>
      <c r="B26" s="85" t="s">
        <v>227</v>
      </c>
      <c r="C26" s="86"/>
      <c r="D26" s="230">
        <f t="shared" ref="D26:K26" si="4">D24/D22</f>
        <v>8.8983050847457626E-2</v>
      </c>
      <c r="E26" s="230">
        <f t="shared" si="4"/>
        <v>6.9124423963133647E-2</v>
      </c>
      <c r="F26" s="230">
        <f t="shared" si="4"/>
        <v>0.10849056603773585</v>
      </c>
      <c r="G26" s="230">
        <f t="shared" si="4"/>
        <v>0.11261261261261261</v>
      </c>
      <c r="H26" s="230">
        <f t="shared" si="4"/>
        <v>6.7632850241545889E-2</v>
      </c>
      <c r="I26" s="230">
        <f t="shared" si="4"/>
        <v>8.2304526748971193E-2</v>
      </c>
      <c r="J26" s="230">
        <f t="shared" si="4"/>
        <v>0.11004784688995216</v>
      </c>
      <c r="K26" s="230">
        <f t="shared" si="4"/>
        <v>6.9672131147540978E-2</v>
      </c>
      <c r="L26" s="230">
        <v>0.18</v>
      </c>
      <c r="M26" s="230">
        <v>0.22302158273381295</v>
      </c>
      <c r="N26" s="230">
        <v>0.15</v>
      </c>
      <c r="O26" s="230">
        <v>0.09</v>
      </c>
      <c r="P26" s="230">
        <v>0.23529411764705882</v>
      </c>
      <c r="Q26" s="215">
        <f>Q24/Q22</f>
        <v>0.35294117647058826</v>
      </c>
      <c r="R26" s="215">
        <f>R24/R22</f>
        <v>0.52631578947368418</v>
      </c>
      <c r="S26" s="215">
        <f>S24/S22</f>
        <v>9.6774193548387094E-2</v>
      </c>
      <c r="T26" s="215">
        <f>T24/T22</f>
        <v>7.2727272727272724E-2</v>
      </c>
      <c r="U26" s="215"/>
      <c r="V26" s="215">
        <f>V24/V22</f>
        <v>0.20863309352517986</v>
      </c>
      <c r="W26" s="215">
        <f>W24/W22</f>
        <v>0.12941176470588237</v>
      </c>
      <c r="X26" s="215">
        <f>3/X22</f>
        <v>8.8235294117647065E-2</v>
      </c>
      <c r="Y26" s="215">
        <f>Y24/Y22</f>
        <v>0.25</v>
      </c>
      <c r="Z26" s="215">
        <v>0.17</v>
      </c>
      <c r="AA26" s="215">
        <f>AA24/AA22</f>
        <v>0.14906832298136646</v>
      </c>
      <c r="AB26" s="215">
        <f>AB24/AB22</f>
        <v>6.4935064935064929E-2</v>
      </c>
      <c r="AC26" s="215">
        <f>AC24/AC22</f>
        <v>0.10638297872340426</v>
      </c>
      <c r="AD26" s="215">
        <f>AD24/AD22</f>
        <v>0.13461538461538461</v>
      </c>
      <c r="AE26" s="215">
        <f>AE24/AE22</f>
        <v>8.3333333333333329E-2</v>
      </c>
      <c r="AF26" s="215">
        <f>AVERAGE(AB26:AD26)</f>
        <v>0.10197780942461794</v>
      </c>
      <c r="AG26" s="369">
        <f t="shared" ref="AG26:AL26" si="5">AG24/AG22</f>
        <v>0.2</v>
      </c>
      <c r="AH26" s="369">
        <f t="shared" si="5"/>
        <v>0.12121212121212122</v>
      </c>
      <c r="AI26" s="369">
        <f t="shared" si="5"/>
        <v>0.15555555555555556</v>
      </c>
      <c r="AJ26" s="369">
        <f t="shared" si="5"/>
        <v>0.53333333333333333</v>
      </c>
      <c r="AK26" s="369">
        <f t="shared" si="5"/>
        <v>0.23529411764705882</v>
      </c>
      <c r="AL26" s="369">
        <f t="shared" si="5"/>
        <v>0.23333333333333334</v>
      </c>
      <c r="AM26" s="369">
        <v>0.15</v>
      </c>
      <c r="AN26" s="369"/>
      <c r="AO26" s="369"/>
      <c r="AP26" s="369">
        <f>AP24/AP22</f>
        <v>0.2</v>
      </c>
      <c r="AQ26" s="315"/>
      <c r="AR26" s="112"/>
      <c r="AS26" s="94"/>
      <c r="AT26" s="239">
        <v>0.25</v>
      </c>
      <c r="AU26" s="239">
        <v>0.25</v>
      </c>
      <c r="AV26" s="94"/>
      <c r="AW26" s="34" t="s">
        <v>223</v>
      </c>
      <c r="AX26" s="99"/>
      <c r="AY26" s="59"/>
    </row>
    <row r="27" spans="1:53" ht="12.95">
      <c r="A27" s="392"/>
      <c r="B27" s="29" t="s">
        <v>228</v>
      </c>
      <c r="C27" s="34"/>
      <c r="D27" s="179" t="s">
        <v>229</v>
      </c>
      <c r="E27" s="231">
        <v>393256</v>
      </c>
      <c r="F27" s="231">
        <v>1093317</v>
      </c>
      <c r="G27" s="232">
        <v>1288873</v>
      </c>
      <c r="H27" s="232">
        <v>285953</v>
      </c>
      <c r="I27" s="232">
        <v>297922</v>
      </c>
      <c r="J27" s="232">
        <v>179923</v>
      </c>
      <c r="K27" s="235">
        <v>136852</v>
      </c>
      <c r="L27" s="195">
        <v>447925.75</v>
      </c>
      <c r="M27" s="195">
        <v>334391.25</v>
      </c>
      <c r="N27" s="324">
        <v>1248443.1000000001</v>
      </c>
      <c r="O27" s="324">
        <v>232143</v>
      </c>
      <c r="P27" s="324">
        <v>356986</v>
      </c>
      <c r="Q27" s="216">
        <f>119601+48273</f>
        <v>167874</v>
      </c>
      <c r="R27" s="216">
        <v>72666.25</v>
      </c>
      <c r="S27" s="216">
        <v>16790</v>
      </c>
      <c r="T27" s="216">
        <v>77061</v>
      </c>
      <c r="U27" s="109"/>
      <c r="V27" s="107">
        <f>SUM(Q27:U27)</f>
        <v>334391.25</v>
      </c>
      <c r="W27" s="216">
        <v>185310.5</v>
      </c>
      <c r="X27" s="216">
        <v>78005</v>
      </c>
      <c r="Y27" s="216">
        <v>61643</v>
      </c>
      <c r="Z27" s="216">
        <v>59919</v>
      </c>
      <c r="AA27" s="107">
        <f>SUM(W27:Z27)</f>
        <v>384877.5</v>
      </c>
      <c r="AB27" s="216">
        <v>153551</v>
      </c>
      <c r="AC27" s="216">
        <v>19836</v>
      </c>
      <c r="AD27" s="216">
        <v>113567</v>
      </c>
      <c r="AE27" s="216">
        <v>35392</v>
      </c>
      <c r="AF27" s="107">
        <f>SUM(AB27:AE27)</f>
        <v>322346</v>
      </c>
      <c r="AG27" s="370">
        <v>85966</v>
      </c>
      <c r="AH27" s="371">
        <v>65950</v>
      </c>
      <c r="AI27" s="371">
        <v>59237</v>
      </c>
      <c r="AJ27" s="371">
        <v>145833</v>
      </c>
      <c r="AK27" s="372">
        <f>SUM(AG27:AJ27)</f>
        <v>356986</v>
      </c>
      <c r="AL27" s="370">
        <v>135630.5</v>
      </c>
      <c r="AM27" s="371">
        <v>63839</v>
      </c>
      <c r="AN27" s="371"/>
      <c r="AO27" s="371"/>
      <c r="AP27" s="372">
        <f>SUM(AL27:AO27)</f>
        <v>199469.5</v>
      </c>
      <c r="AQ27" s="111"/>
      <c r="AR27" s="112"/>
      <c r="AS27" s="93"/>
      <c r="AV27" s="93"/>
      <c r="AW27" s="34" t="s">
        <v>223</v>
      </c>
      <c r="AX27" s="59"/>
      <c r="AY27" s="59"/>
    </row>
    <row r="28" spans="1:53" ht="12.95">
      <c r="A28" s="392"/>
      <c r="B28" s="85" t="s">
        <v>230</v>
      </c>
      <c r="C28" s="86"/>
      <c r="D28" s="233">
        <v>548830</v>
      </c>
      <c r="E28" s="233">
        <v>772696</v>
      </c>
      <c r="F28" s="233">
        <v>761326</v>
      </c>
      <c r="G28" s="232">
        <v>852347</v>
      </c>
      <c r="H28" s="232">
        <v>614020</v>
      </c>
      <c r="I28" s="232">
        <v>744806</v>
      </c>
      <c r="J28" s="232">
        <v>614020</v>
      </c>
      <c r="K28" s="236">
        <v>116574</v>
      </c>
      <c r="L28" s="234">
        <v>696140</v>
      </c>
      <c r="M28" s="234">
        <v>697000</v>
      </c>
      <c r="N28" s="325">
        <v>714545.89</v>
      </c>
      <c r="O28" s="325">
        <v>661500</v>
      </c>
      <c r="P28" s="325">
        <v>490500</v>
      </c>
      <c r="Q28" s="108">
        <v>174250</v>
      </c>
      <c r="R28" s="108">
        <v>174250</v>
      </c>
      <c r="S28" s="108">
        <v>174250</v>
      </c>
      <c r="T28" s="108">
        <v>174250</v>
      </c>
      <c r="U28" s="108"/>
      <c r="V28" s="187">
        <f>SUM(Q28:U28)</f>
        <v>697000</v>
      </c>
      <c r="W28" s="108">
        <v>174420</v>
      </c>
      <c r="X28" s="108">
        <v>174420</v>
      </c>
      <c r="Y28" s="108">
        <v>174420</v>
      </c>
      <c r="Z28" s="108">
        <v>174420</v>
      </c>
      <c r="AA28" s="187">
        <f>SUM(W28:Z28)</f>
        <v>697680</v>
      </c>
      <c r="AB28" s="108">
        <v>174420</v>
      </c>
      <c r="AC28" s="108">
        <v>174420</v>
      </c>
      <c r="AD28" s="108">
        <v>174420</v>
      </c>
      <c r="AE28" s="108">
        <v>174420</v>
      </c>
      <c r="AF28" s="187">
        <f>SUM(AB28:AE28)</f>
        <v>697680</v>
      </c>
      <c r="AG28" s="373">
        <f>$AK$28/4</f>
        <v>122625</v>
      </c>
      <c r="AH28" s="373">
        <f>$AK$28/4</f>
        <v>122625</v>
      </c>
      <c r="AI28" s="373">
        <f>$AK$28/4</f>
        <v>122625</v>
      </c>
      <c r="AJ28" s="373">
        <f>$AK$28/4</f>
        <v>122625</v>
      </c>
      <c r="AK28" s="373">
        <v>490500</v>
      </c>
      <c r="AL28" s="373">
        <v>130500</v>
      </c>
      <c r="AM28" s="373">
        <v>130500</v>
      </c>
      <c r="AN28" s="373">
        <v>130500</v>
      </c>
      <c r="AO28" s="373">
        <v>130500</v>
      </c>
      <c r="AP28" s="373">
        <v>522000</v>
      </c>
      <c r="AQ28" s="316"/>
      <c r="AR28" s="112"/>
      <c r="AS28" s="94"/>
      <c r="AT28" s="109">
        <v>174250</v>
      </c>
      <c r="AU28" s="100">
        <v>697000</v>
      </c>
      <c r="AV28" s="94"/>
      <c r="AW28" s="34" t="s">
        <v>223</v>
      </c>
      <c r="AX28" s="99"/>
      <c r="AY28" s="99"/>
      <c r="AZ28" s="83"/>
      <c r="BA28" s="83"/>
    </row>
    <row r="29" spans="1:53" ht="12.95">
      <c r="A29" s="392"/>
      <c r="B29" s="29" t="s">
        <v>42</v>
      </c>
      <c r="C29" s="34"/>
      <c r="D29" s="179"/>
      <c r="E29" s="179">
        <v>3</v>
      </c>
      <c r="F29" s="179"/>
      <c r="G29" s="179">
        <v>11</v>
      </c>
      <c r="H29" s="179">
        <v>15</v>
      </c>
      <c r="I29" s="179">
        <v>4</v>
      </c>
      <c r="J29" s="179">
        <v>0</v>
      </c>
      <c r="K29" s="179">
        <v>0</v>
      </c>
      <c r="L29" s="179"/>
      <c r="M29" s="179"/>
      <c r="N29" s="179"/>
      <c r="O29" s="179"/>
      <c r="P29" s="179"/>
      <c r="Q29" s="34"/>
      <c r="R29" s="34"/>
      <c r="S29" s="34"/>
      <c r="T29" s="34"/>
      <c r="U29" s="34"/>
      <c r="V29" s="164">
        <f>SUM(Q29:U29)</f>
        <v>0</v>
      </c>
      <c r="W29" s="34"/>
      <c r="X29" s="34"/>
      <c r="Y29" s="34"/>
      <c r="Z29" s="34"/>
      <c r="AA29" s="164"/>
      <c r="AB29" s="34"/>
      <c r="AC29" s="34"/>
      <c r="AD29" s="34"/>
      <c r="AE29" s="34"/>
      <c r="AF29" s="164"/>
      <c r="AG29" s="355"/>
      <c r="AH29" s="355" t="s">
        <v>231</v>
      </c>
      <c r="AI29" s="355"/>
      <c r="AJ29" s="355"/>
      <c r="AK29" s="356"/>
      <c r="AL29" s="355"/>
      <c r="AM29" s="355"/>
      <c r="AN29" s="355" t="s">
        <v>232</v>
      </c>
      <c r="AO29" s="355" t="s">
        <v>233</v>
      </c>
      <c r="AP29" s="164"/>
      <c r="AQ29" s="313"/>
      <c r="AR29" s="112"/>
      <c r="AS29" s="93"/>
      <c r="AT29" s="34"/>
      <c r="AU29" s="34"/>
      <c r="AV29" s="93"/>
      <c r="AW29" s="34" t="s">
        <v>223</v>
      </c>
      <c r="AX29" s="59"/>
      <c r="AY29" s="59"/>
    </row>
    <row r="30" spans="1:53" ht="12.95">
      <c r="AW30" s="69"/>
    </row>
    <row r="31" spans="1:53" ht="13.5" customHeight="1">
      <c r="A31" s="397" t="s">
        <v>234</v>
      </c>
      <c r="B31" s="29" t="s">
        <v>235</v>
      </c>
      <c r="C31" s="29" t="s">
        <v>236</v>
      </c>
      <c r="D31" s="34">
        <v>17</v>
      </c>
      <c r="E31" s="34">
        <v>21</v>
      </c>
      <c r="F31" s="34">
        <v>16</v>
      </c>
      <c r="G31" s="34">
        <v>16</v>
      </c>
      <c r="H31" s="34">
        <v>24</v>
      </c>
      <c r="I31" s="34">
        <v>32</v>
      </c>
      <c r="J31" s="34">
        <v>29</v>
      </c>
      <c r="K31" s="34">
        <v>19</v>
      </c>
      <c r="L31" s="34">
        <v>25</v>
      </c>
      <c r="M31" s="34">
        <v>25</v>
      </c>
      <c r="N31" s="34">
        <v>14</v>
      </c>
      <c r="O31" s="34">
        <v>17</v>
      </c>
      <c r="P31" s="34"/>
      <c r="Q31" s="34">
        <v>3</v>
      </c>
      <c r="R31" s="34">
        <v>13</v>
      </c>
      <c r="S31" s="34">
        <v>4</v>
      </c>
      <c r="T31" s="34">
        <v>5</v>
      </c>
      <c r="U31" s="29"/>
      <c r="V31" s="34">
        <v>25</v>
      </c>
      <c r="W31" s="34">
        <v>2</v>
      </c>
      <c r="X31" s="34">
        <v>7</v>
      </c>
      <c r="Y31" s="34">
        <v>5</v>
      </c>
      <c r="Z31" s="34">
        <v>0</v>
      </c>
      <c r="AA31" s="34">
        <v>14</v>
      </c>
      <c r="AB31" s="34">
        <v>3</v>
      </c>
      <c r="AC31" s="34">
        <v>6</v>
      </c>
      <c r="AD31" s="34">
        <v>7</v>
      </c>
      <c r="AE31" s="34">
        <v>1</v>
      </c>
      <c r="AF31" s="34">
        <v>17</v>
      </c>
      <c r="AG31" s="34"/>
      <c r="AH31" s="34"/>
      <c r="AI31" s="34"/>
      <c r="AJ31" s="34"/>
      <c r="AK31" s="34">
        <v>7</v>
      </c>
      <c r="AL31" s="34"/>
      <c r="AM31" s="34"/>
      <c r="AN31" s="34"/>
      <c r="AO31" s="34"/>
      <c r="AP31" s="34">
        <v>7</v>
      </c>
      <c r="AQ31" s="79"/>
      <c r="AR31" s="31"/>
      <c r="AS31" s="52"/>
      <c r="AT31" s="34">
        <v>6</v>
      </c>
      <c r="AU31" s="34" t="s">
        <v>237</v>
      </c>
      <c r="AV31" s="93"/>
      <c r="AW31" s="34" t="s">
        <v>238</v>
      </c>
      <c r="AX31" s="59"/>
      <c r="AY31" s="98"/>
    </row>
    <row r="32" spans="1:53" ht="12.95">
      <c r="A32" s="397"/>
      <c r="B32" s="29" t="s">
        <v>239</v>
      </c>
      <c r="C32" s="29" t="s">
        <v>240</v>
      </c>
      <c r="D32" s="34" t="s">
        <v>241</v>
      </c>
      <c r="E32" s="34" t="s">
        <v>242</v>
      </c>
      <c r="F32" s="100">
        <v>108000</v>
      </c>
      <c r="G32" s="100">
        <v>102300</v>
      </c>
      <c r="H32" s="100">
        <v>149830</v>
      </c>
      <c r="I32" s="100">
        <v>194512</v>
      </c>
      <c r="J32" s="100">
        <v>171000</v>
      </c>
      <c r="K32" s="100">
        <v>73900</v>
      </c>
      <c r="L32" s="34">
        <v>124000</v>
      </c>
      <c r="M32" s="100">
        <v>87216</v>
      </c>
      <c r="N32" s="100">
        <v>40180</v>
      </c>
      <c r="O32" s="34">
        <v>74619</v>
      </c>
      <c r="P32" s="34"/>
      <c r="Q32" s="100">
        <v>13600</v>
      </c>
      <c r="R32" s="100">
        <v>43426</v>
      </c>
      <c r="S32" s="100">
        <v>19000</v>
      </c>
      <c r="T32" s="100">
        <v>11190</v>
      </c>
      <c r="U32" s="202"/>
      <c r="V32" s="100">
        <v>87216</v>
      </c>
      <c r="W32" s="100">
        <v>10200</v>
      </c>
      <c r="X32" s="100">
        <v>11050</v>
      </c>
      <c r="Y32" s="100">
        <v>18930</v>
      </c>
      <c r="Z32" s="100">
        <v>0</v>
      </c>
      <c r="AA32" s="100">
        <v>40180</v>
      </c>
      <c r="AB32" s="100">
        <v>9813</v>
      </c>
      <c r="AC32" s="100">
        <v>27900</v>
      </c>
      <c r="AD32" s="100">
        <v>32353</v>
      </c>
      <c r="AE32" s="100">
        <v>4553</v>
      </c>
      <c r="AF32" s="100">
        <v>74619</v>
      </c>
      <c r="AG32" s="100"/>
      <c r="AH32" s="100"/>
      <c r="AI32" s="100"/>
      <c r="AJ32" s="100"/>
      <c r="AK32" s="100">
        <v>24200</v>
      </c>
      <c r="AL32" s="100"/>
      <c r="AM32" s="100"/>
      <c r="AN32" s="100"/>
      <c r="AO32" s="100"/>
      <c r="AP32" s="100">
        <v>24200</v>
      </c>
      <c r="AQ32" s="317"/>
      <c r="AR32" s="113"/>
      <c r="AS32" s="52"/>
      <c r="AT32" s="87">
        <v>20000</v>
      </c>
      <c r="AU32" s="100">
        <v>80000</v>
      </c>
      <c r="AV32" s="93"/>
      <c r="AW32" s="34" t="s">
        <v>238</v>
      </c>
      <c r="AX32" s="59"/>
      <c r="AY32" s="98"/>
      <c r="BA32" s="244"/>
    </row>
    <row r="33" spans="1:51" ht="12.95">
      <c r="Q33" s="198"/>
      <c r="R33" s="198"/>
      <c r="S33" s="198"/>
      <c r="T33" s="198"/>
      <c r="U33" s="198"/>
      <c r="V33" s="198"/>
      <c r="W33" s="198"/>
      <c r="X33" s="198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W33" s="69"/>
    </row>
    <row r="34" spans="1:51" ht="25.5" customHeight="1">
      <c r="A34" s="398" t="s">
        <v>243</v>
      </c>
      <c r="B34" s="165" t="s">
        <v>244</v>
      </c>
      <c r="C34" s="68"/>
      <c r="D34" s="68"/>
      <c r="E34" s="6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178"/>
      <c r="R34" s="178"/>
      <c r="S34" s="178"/>
      <c r="T34" s="178"/>
      <c r="U34" s="29"/>
      <c r="V34" s="29"/>
      <c r="W34" s="245"/>
      <c r="X34" s="245"/>
      <c r="Y34" s="245"/>
      <c r="Z34" s="245"/>
      <c r="AA34" s="247"/>
      <c r="AB34" s="245"/>
      <c r="AC34" s="245"/>
      <c r="AD34" s="245"/>
      <c r="AE34" s="245"/>
      <c r="AF34" s="247"/>
      <c r="AG34" s="245"/>
      <c r="AH34" s="245"/>
      <c r="AI34" s="245"/>
      <c r="AJ34" s="245"/>
      <c r="AK34" s="247"/>
      <c r="AL34" s="245"/>
      <c r="AM34" s="245"/>
      <c r="AN34" s="245"/>
      <c r="AO34" s="245"/>
      <c r="AP34" s="247"/>
      <c r="AQ34" s="318"/>
      <c r="AR34" s="31"/>
      <c r="AS34" s="52"/>
      <c r="AT34" s="34"/>
      <c r="AU34" s="34"/>
      <c r="AV34" s="93"/>
      <c r="AW34" s="179" t="s">
        <v>238</v>
      </c>
      <c r="AX34" s="59"/>
      <c r="AY34" s="400"/>
    </row>
    <row r="35" spans="1:51" ht="13.35" customHeight="1">
      <c r="A35" s="399"/>
      <c r="B35" s="166" t="s">
        <v>245</v>
      </c>
      <c r="C35" s="68"/>
      <c r="D35" s="68"/>
      <c r="E35" s="68"/>
      <c r="F35" s="248"/>
      <c r="G35" s="248"/>
      <c r="H35" s="248"/>
      <c r="I35" s="248"/>
      <c r="J35" s="248"/>
      <c r="K35" s="248"/>
      <c r="L35" s="248"/>
      <c r="M35" s="248"/>
      <c r="N35" s="248"/>
      <c r="O35" s="248"/>
      <c r="P35" s="248"/>
      <c r="Q35" s="178"/>
      <c r="R35" s="178"/>
      <c r="S35" s="178"/>
      <c r="T35" s="178"/>
      <c r="U35" s="29"/>
      <c r="V35" s="29"/>
      <c r="W35" s="245"/>
      <c r="X35" s="245"/>
      <c r="Y35" s="245"/>
      <c r="Z35" s="245"/>
      <c r="AA35" s="247"/>
      <c r="AB35" s="245"/>
      <c r="AC35" s="245"/>
      <c r="AD35" s="245"/>
      <c r="AE35" s="245"/>
      <c r="AF35" s="247"/>
      <c r="AG35" s="245"/>
      <c r="AH35" s="245"/>
      <c r="AI35" s="245"/>
      <c r="AJ35" s="245"/>
      <c r="AK35" s="247"/>
      <c r="AL35" s="245"/>
      <c r="AM35" s="245"/>
      <c r="AN35" s="245"/>
      <c r="AO35" s="245"/>
      <c r="AP35" s="247"/>
      <c r="AQ35" s="318"/>
      <c r="AR35" s="31"/>
      <c r="AS35" s="52"/>
      <c r="AT35" s="34"/>
      <c r="AU35" s="34"/>
      <c r="AV35" s="93"/>
      <c r="AW35" s="179" t="s">
        <v>238</v>
      </c>
      <c r="AX35" s="59"/>
      <c r="AY35" s="401"/>
    </row>
    <row r="36" spans="1:51" ht="12.95">
      <c r="AW36" s="69"/>
    </row>
    <row r="37" spans="1:51" ht="12.95">
      <c r="A37" s="392" t="s">
        <v>246</v>
      </c>
      <c r="B37" s="29" t="s">
        <v>247</v>
      </c>
      <c r="C37" s="29" t="s">
        <v>236</v>
      </c>
      <c r="D37" s="34">
        <v>560</v>
      </c>
      <c r="E37" s="34">
        <v>743</v>
      </c>
      <c r="F37" s="34">
        <v>613</v>
      </c>
      <c r="G37" s="34">
        <v>1141</v>
      </c>
      <c r="H37" s="34">
        <v>689</v>
      </c>
      <c r="I37" s="34">
        <v>547</v>
      </c>
      <c r="J37" s="34">
        <v>1172</v>
      </c>
      <c r="K37" s="34">
        <v>1448</v>
      </c>
      <c r="L37" s="34">
        <v>2046</v>
      </c>
      <c r="M37" s="34">
        <v>1147</v>
      </c>
      <c r="N37" s="34">
        <v>1436</v>
      </c>
      <c r="O37" s="34">
        <v>1150</v>
      </c>
      <c r="P37" s="34"/>
      <c r="Q37" s="178">
        <v>45</v>
      </c>
      <c r="R37" s="178">
        <v>356</v>
      </c>
      <c r="S37" s="178">
        <v>190</v>
      </c>
      <c r="T37" s="179">
        <v>396</v>
      </c>
      <c r="U37" s="178">
        <v>160</v>
      </c>
      <c r="V37" s="178">
        <v>1147</v>
      </c>
      <c r="W37" s="178">
        <v>233</v>
      </c>
      <c r="X37" s="178">
        <v>250</v>
      </c>
      <c r="Y37" s="178">
        <v>906</v>
      </c>
      <c r="Z37" s="179">
        <v>47</v>
      </c>
      <c r="AA37" s="178">
        <v>1436</v>
      </c>
      <c r="AB37" s="178">
        <v>880</v>
      </c>
      <c r="AC37" s="178">
        <v>139</v>
      </c>
      <c r="AD37" s="178">
        <v>131</v>
      </c>
      <c r="AE37" s="246"/>
      <c r="AF37" s="178">
        <v>1150</v>
      </c>
      <c r="AG37" s="178"/>
      <c r="AH37" s="178"/>
      <c r="AI37" s="178"/>
      <c r="AJ37" s="246"/>
      <c r="AK37" s="178"/>
      <c r="AL37" s="178"/>
      <c r="AM37" s="178"/>
      <c r="AN37" s="178"/>
      <c r="AO37" s="246"/>
      <c r="AP37" s="178"/>
      <c r="AQ37" s="198"/>
      <c r="AR37" s="31"/>
      <c r="AS37" s="52"/>
      <c r="AT37" s="34">
        <v>250</v>
      </c>
      <c r="AU37" s="34">
        <v>1100</v>
      </c>
      <c r="AV37" s="93"/>
      <c r="AW37" s="34" t="s">
        <v>238</v>
      </c>
      <c r="AX37" s="59"/>
      <c r="AY37" s="98"/>
    </row>
    <row r="38" spans="1:51" ht="12.95">
      <c r="A38" s="393"/>
      <c r="B38" s="29" t="s">
        <v>248</v>
      </c>
      <c r="C38" s="29" t="s">
        <v>236</v>
      </c>
      <c r="D38" s="34">
        <v>115</v>
      </c>
      <c r="E38" s="34">
        <v>146</v>
      </c>
      <c r="F38" s="34">
        <v>140</v>
      </c>
      <c r="G38" s="34">
        <v>133</v>
      </c>
      <c r="H38" s="34">
        <v>145</v>
      </c>
      <c r="I38" s="34">
        <v>201</v>
      </c>
      <c r="J38" s="34">
        <v>190</v>
      </c>
      <c r="K38" s="34">
        <v>166</v>
      </c>
      <c r="L38" s="34">
        <v>204</v>
      </c>
      <c r="M38" s="34">
        <v>232</v>
      </c>
      <c r="N38" s="34">
        <v>112</v>
      </c>
      <c r="O38" s="34">
        <v>139</v>
      </c>
      <c r="P38" s="34"/>
      <c r="Q38" s="178">
        <v>36</v>
      </c>
      <c r="R38" s="178">
        <v>46</v>
      </c>
      <c r="S38" s="178">
        <v>54</v>
      </c>
      <c r="T38" s="179">
        <v>44</v>
      </c>
      <c r="U38" s="178">
        <v>52</v>
      </c>
      <c r="V38" s="178">
        <v>232</v>
      </c>
      <c r="W38" s="178">
        <v>25</v>
      </c>
      <c r="X38" s="178">
        <v>53</v>
      </c>
      <c r="Y38" s="178">
        <v>24</v>
      </c>
      <c r="Z38" s="179">
        <v>0</v>
      </c>
      <c r="AA38" s="178">
        <v>112</v>
      </c>
      <c r="AB38" s="178">
        <v>54</v>
      </c>
      <c r="AC38" s="178">
        <v>46</v>
      </c>
      <c r="AD38" s="178">
        <v>39</v>
      </c>
      <c r="AE38" s="246"/>
      <c r="AF38" s="178">
        <v>139</v>
      </c>
      <c r="AG38" s="178"/>
      <c r="AH38" s="178"/>
      <c r="AI38" s="178"/>
      <c r="AJ38" s="246"/>
      <c r="AK38" s="178"/>
      <c r="AL38" s="178"/>
      <c r="AM38" s="178"/>
      <c r="AN38" s="178"/>
      <c r="AO38" s="246"/>
      <c r="AP38" s="178"/>
      <c r="AQ38" s="198"/>
      <c r="AR38" s="31"/>
      <c r="AS38" s="52"/>
      <c r="AT38" s="34">
        <v>50</v>
      </c>
      <c r="AU38" s="34">
        <v>200</v>
      </c>
      <c r="AV38" s="93"/>
      <c r="AW38" s="34" t="s">
        <v>238</v>
      </c>
      <c r="AX38" s="59"/>
      <c r="AY38" s="98"/>
    </row>
    <row r="39" spans="1:51" ht="12.95">
      <c r="A39" s="393"/>
      <c r="B39" s="29" t="s">
        <v>249</v>
      </c>
      <c r="C39" s="29"/>
      <c r="D39" s="34"/>
      <c r="E39" s="34"/>
      <c r="F39" s="34"/>
      <c r="G39" s="34"/>
      <c r="H39" s="34"/>
      <c r="I39" s="34"/>
      <c r="J39" s="34">
        <v>198</v>
      </c>
      <c r="K39" s="34">
        <v>72</v>
      </c>
      <c r="L39" s="34">
        <v>46</v>
      </c>
      <c r="M39" s="34">
        <v>50</v>
      </c>
      <c r="N39" s="34">
        <v>18</v>
      </c>
      <c r="O39" s="34">
        <v>18</v>
      </c>
      <c r="P39" s="34"/>
      <c r="Q39" s="178"/>
      <c r="R39" s="178"/>
      <c r="S39" s="178"/>
      <c r="T39" s="179"/>
      <c r="U39" s="178"/>
      <c r="V39" s="178"/>
      <c r="W39" s="245"/>
      <c r="X39" s="245"/>
      <c r="Y39" s="245"/>
      <c r="Z39" s="246"/>
      <c r="AA39" s="245"/>
      <c r="AB39" s="245"/>
      <c r="AC39" s="245"/>
      <c r="AD39" s="245"/>
      <c r="AE39" s="246"/>
      <c r="AF39" s="245"/>
      <c r="AG39" s="245"/>
      <c r="AH39" s="245"/>
      <c r="AI39" s="245"/>
      <c r="AJ39" s="246"/>
      <c r="AK39" s="245"/>
      <c r="AL39" s="245"/>
      <c r="AM39" s="245"/>
      <c r="AN39" s="245"/>
      <c r="AO39" s="246"/>
      <c r="AP39" s="245"/>
      <c r="AQ39" s="319"/>
      <c r="AR39" s="31"/>
      <c r="AS39" s="52"/>
      <c r="AT39" s="34"/>
      <c r="AU39" s="34"/>
      <c r="AV39" s="93"/>
      <c r="AW39" s="34"/>
      <c r="AX39" s="59"/>
      <c r="AY39" s="98"/>
    </row>
    <row r="40" spans="1:51" ht="12.95">
      <c r="A40" s="393"/>
      <c r="B40" s="29" t="s">
        <v>250</v>
      </c>
      <c r="C40" s="29"/>
      <c r="D40" s="34"/>
      <c r="E40" s="34"/>
      <c r="F40" s="34"/>
      <c r="G40" s="34"/>
      <c r="H40" s="34"/>
      <c r="I40" s="34"/>
      <c r="J40" s="34">
        <v>9</v>
      </c>
      <c r="K40" s="34">
        <v>6</v>
      </c>
      <c r="L40" s="34">
        <v>6</v>
      </c>
      <c r="M40" s="34">
        <v>6</v>
      </c>
      <c r="N40" s="34">
        <v>6</v>
      </c>
      <c r="O40" s="34">
        <v>7</v>
      </c>
      <c r="P40" s="34"/>
      <c r="Q40" s="178"/>
      <c r="R40" s="178"/>
      <c r="S40" s="178"/>
      <c r="T40" s="179"/>
      <c r="U40" s="178"/>
      <c r="V40" s="178"/>
      <c r="W40" s="245"/>
      <c r="X40" s="245"/>
      <c r="Y40" s="245"/>
      <c r="Z40" s="246"/>
      <c r="AA40" s="245"/>
      <c r="AB40" s="245"/>
      <c r="AC40" s="245"/>
      <c r="AD40" s="245"/>
      <c r="AE40" s="246"/>
      <c r="AF40" s="245"/>
      <c r="AG40" s="245"/>
      <c r="AH40" s="245"/>
      <c r="AI40" s="245"/>
      <c r="AJ40" s="246"/>
      <c r="AK40" s="245"/>
      <c r="AL40" s="245"/>
      <c r="AM40" s="245"/>
      <c r="AN40" s="245"/>
      <c r="AO40" s="246"/>
      <c r="AP40" s="245"/>
      <c r="AQ40" s="319"/>
      <c r="AR40" s="31"/>
      <c r="AS40" s="52"/>
      <c r="AT40" s="34"/>
      <c r="AU40" s="34"/>
      <c r="AV40" s="93"/>
      <c r="AW40" s="34"/>
      <c r="AX40" s="59"/>
      <c r="AY40" s="98"/>
    </row>
    <row r="41" spans="1:51" ht="12.75" customHeight="1">
      <c r="A41" s="394"/>
      <c r="B41" s="178" t="s">
        <v>251</v>
      </c>
      <c r="C41" s="178"/>
      <c r="D41" s="179"/>
      <c r="E41" s="179"/>
      <c r="F41" s="179"/>
      <c r="G41" s="179"/>
      <c r="H41" s="179"/>
      <c r="I41" s="179"/>
      <c r="J41" s="179">
        <v>1811</v>
      </c>
      <c r="K41" s="179"/>
      <c r="L41" s="179"/>
      <c r="M41" s="179"/>
      <c r="N41" s="179"/>
      <c r="O41" s="179"/>
      <c r="P41" s="179"/>
      <c r="Q41" s="178"/>
      <c r="R41" s="178"/>
      <c r="S41" s="178"/>
      <c r="T41" s="178"/>
      <c r="U41" s="178"/>
      <c r="V41" s="179"/>
      <c r="W41" s="178"/>
      <c r="X41" s="178"/>
      <c r="Y41" s="178"/>
      <c r="Z41" s="178"/>
      <c r="AA41" s="179"/>
      <c r="AB41" s="178"/>
      <c r="AC41" s="178"/>
      <c r="AD41" s="178"/>
      <c r="AE41" s="178"/>
      <c r="AF41" s="179"/>
      <c r="AG41" s="178"/>
      <c r="AH41" s="178"/>
      <c r="AI41" s="178"/>
      <c r="AJ41" s="178"/>
      <c r="AK41" s="179"/>
      <c r="AL41" s="178"/>
      <c r="AM41" s="178"/>
      <c r="AN41" s="178"/>
      <c r="AO41" s="178"/>
      <c r="AP41" s="179"/>
      <c r="AQ41" s="320"/>
      <c r="AT41" s="60"/>
      <c r="AU41" s="60"/>
      <c r="AV41" s="97"/>
      <c r="AW41" s="179" t="s">
        <v>238</v>
      </c>
      <c r="AX41" s="59"/>
      <c r="AY41" s="59" t="s">
        <v>252</v>
      </c>
    </row>
    <row r="42" spans="1:51" ht="12.95">
      <c r="AW42" s="69"/>
    </row>
    <row r="43" spans="1:51" ht="15">
      <c r="A43" s="392" t="s">
        <v>253</v>
      </c>
      <c r="B43" s="29" t="s">
        <v>254</v>
      </c>
      <c r="C43" s="34"/>
      <c r="D43" s="34">
        <v>37108</v>
      </c>
      <c r="E43" s="87">
        <v>35305</v>
      </c>
      <c r="F43" s="87">
        <v>35259</v>
      </c>
      <c r="G43" s="87">
        <v>33592</v>
      </c>
      <c r="H43" s="87">
        <v>29568</v>
      </c>
      <c r="I43" s="87">
        <v>20455</v>
      </c>
      <c r="J43" s="87">
        <v>18887</v>
      </c>
      <c r="K43" s="87">
        <v>19880</v>
      </c>
      <c r="L43" s="87">
        <v>12736</v>
      </c>
      <c r="M43" s="87">
        <v>11112</v>
      </c>
      <c r="N43" s="87">
        <v>10921</v>
      </c>
      <c r="O43" s="87">
        <v>15962</v>
      </c>
      <c r="P43" s="179"/>
      <c r="Q43" s="178">
        <v>45</v>
      </c>
      <c r="R43" s="178">
        <v>356</v>
      </c>
      <c r="S43" s="178">
        <v>190</v>
      </c>
      <c r="T43" s="179">
        <v>396</v>
      </c>
      <c r="U43" s="178">
        <v>160</v>
      </c>
      <c r="V43" s="178">
        <v>1147</v>
      </c>
      <c r="W43" s="178">
        <v>233</v>
      </c>
      <c r="X43" s="178">
        <v>250</v>
      </c>
      <c r="Y43" s="178">
        <v>906</v>
      </c>
      <c r="Z43" s="179">
        <v>47</v>
      </c>
      <c r="AA43" s="178">
        <v>1436</v>
      </c>
      <c r="AB43" s="178">
        <v>880</v>
      </c>
      <c r="AC43" s="178">
        <v>139</v>
      </c>
      <c r="AD43" s="178">
        <v>131</v>
      </c>
      <c r="AE43" s="179"/>
      <c r="AF43" s="178">
        <v>1150</v>
      </c>
      <c r="AG43" s="178"/>
      <c r="AH43" s="178"/>
      <c r="AI43" s="178"/>
      <c r="AJ43" s="179"/>
      <c r="AK43" s="253">
        <v>26463</v>
      </c>
      <c r="AL43" s="178"/>
      <c r="AM43" s="178"/>
      <c r="AN43" s="178"/>
      <c r="AO43" s="179"/>
      <c r="AP43" s="253"/>
      <c r="AQ43" s="200"/>
      <c r="AR43" s="31"/>
      <c r="AS43" s="52"/>
      <c r="AT43" s="34"/>
      <c r="AU43" s="34" t="s">
        <v>255</v>
      </c>
      <c r="AV43" s="93"/>
      <c r="AW43" s="34" t="s">
        <v>256</v>
      </c>
      <c r="AX43" s="59"/>
      <c r="AY43" s="98" t="s">
        <v>257</v>
      </c>
    </row>
    <row r="44" spans="1:51" ht="15">
      <c r="A44" s="393"/>
      <c r="B44" s="29" t="s">
        <v>258</v>
      </c>
      <c r="C44" s="34"/>
      <c r="D44" s="34">
        <v>39032</v>
      </c>
      <c r="E44" s="87">
        <v>41127</v>
      </c>
      <c r="F44" s="87">
        <v>37820</v>
      </c>
      <c r="G44" s="87">
        <v>34964</v>
      </c>
      <c r="H44" s="87">
        <v>38259</v>
      </c>
      <c r="I44" s="87">
        <v>23648</v>
      </c>
      <c r="J44" s="87">
        <v>21923</v>
      </c>
      <c r="K44" s="87">
        <v>23629</v>
      </c>
      <c r="L44" s="87">
        <v>15267</v>
      </c>
      <c r="M44" s="87">
        <v>12221</v>
      </c>
      <c r="N44" s="87">
        <v>15177</v>
      </c>
      <c r="O44" s="87">
        <v>21857</v>
      </c>
      <c r="P44" s="179"/>
      <c r="Q44" s="178">
        <v>36</v>
      </c>
      <c r="R44" s="178">
        <v>46</v>
      </c>
      <c r="S44" s="178">
        <v>54</v>
      </c>
      <c r="T44" s="179">
        <v>44</v>
      </c>
      <c r="U44" s="178">
        <v>52</v>
      </c>
      <c r="V44" s="178">
        <v>232</v>
      </c>
      <c r="W44" s="178">
        <v>25</v>
      </c>
      <c r="X44" s="178">
        <v>53</v>
      </c>
      <c r="Y44" s="178">
        <v>24</v>
      </c>
      <c r="Z44" s="179">
        <v>0</v>
      </c>
      <c r="AA44" s="178">
        <v>112</v>
      </c>
      <c r="AB44" s="178">
        <v>54</v>
      </c>
      <c r="AC44" s="178">
        <v>46</v>
      </c>
      <c r="AD44" s="178">
        <v>39</v>
      </c>
      <c r="AE44" s="179"/>
      <c r="AF44" s="178">
        <v>139</v>
      </c>
      <c r="AG44" s="178"/>
      <c r="AH44" s="178"/>
      <c r="AI44" s="178"/>
      <c r="AJ44" s="179"/>
      <c r="AK44" s="253">
        <v>37108</v>
      </c>
      <c r="AL44" s="178"/>
      <c r="AM44" s="178"/>
      <c r="AN44" s="178"/>
      <c r="AO44" s="179"/>
      <c r="AP44" s="253"/>
      <c r="AQ44" s="200"/>
      <c r="AR44" s="31"/>
      <c r="AS44" s="52"/>
      <c r="AT44" s="34"/>
      <c r="AU44" s="34" t="s">
        <v>255</v>
      </c>
      <c r="AV44" s="93"/>
      <c r="AW44" s="34" t="s">
        <v>256</v>
      </c>
      <c r="AX44" s="59"/>
      <c r="AY44" s="98" t="s">
        <v>257</v>
      </c>
    </row>
    <row r="45" spans="1:51" ht="12.95">
      <c r="A45" s="393"/>
      <c r="B45" s="29" t="s">
        <v>259</v>
      </c>
      <c r="C45" s="34"/>
      <c r="D45" s="88">
        <v>5.1999999999999998E-2</v>
      </c>
      <c r="E45" s="88">
        <v>0.14099999999999999</v>
      </c>
      <c r="F45" s="88">
        <v>6.8000000000000005E-2</v>
      </c>
      <c r="G45" s="88">
        <v>3.9199999999999999E-2</v>
      </c>
      <c r="H45" s="88" t="s">
        <v>260</v>
      </c>
      <c r="I45" s="88">
        <v>0.13500000000000001</v>
      </c>
      <c r="J45" s="88">
        <v>0.13800000000000001</v>
      </c>
      <c r="K45" s="88">
        <v>0.1598</v>
      </c>
      <c r="L45" s="88">
        <v>0.1658</v>
      </c>
      <c r="M45" s="88">
        <v>9.0700000000000003E-2</v>
      </c>
      <c r="N45" s="88">
        <v>0.28039999999999998</v>
      </c>
      <c r="O45" s="88">
        <v>0.2697</v>
      </c>
      <c r="P45" s="179"/>
      <c r="Q45" s="178"/>
      <c r="R45" s="178"/>
      <c r="S45" s="178"/>
      <c r="T45" s="179"/>
      <c r="U45" s="178"/>
      <c r="V45" s="178"/>
      <c r="W45" s="178"/>
      <c r="X45" s="178"/>
      <c r="Y45" s="178"/>
      <c r="Z45" s="179"/>
      <c r="AA45" s="178"/>
      <c r="AB45" s="178"/>
      <c r="AC45" s="178"/>
      <c r="AD45" s="178"/>
      <c r="AE45" s="179"/>
      <c r="AF45" s="178"/>
      <c r="AG45" s="178"/>
      <c r="AH45" s="178"/>
      <c r="AI45" s="178"/>
      <c r="AJ45" s="179"/>
      <c r="AK45" s="374">
        <v>0.28999999999999998</v>
      </c>
      <c r="AL45" s="178"/>
      <c r="AM45" s="178"/>
      <c r="AN45" s="178"/>
      <c r="AO45" s="179"/>
      <c r="AP45" s="374"/>
      <c r="AQ45" s="189"/>
      <c r="AR45" s="31"/>
      <c r="AS45" s="52"/>
      <c r="AT45" s="34"/>
      <c r="AU45" s="33">
        <v>0.05</v>
      </c>
      <c r="AV45" s="93"/>
      <c r="AW45" s="34" t="s">
        <v>256</v>
      </c>
      <c r="AX45" s="59"/>
      <c r="AY45" s="98" t="s">
        <v>257</v>
      </c>
    </row>
    <row r="46" spans="1:51" ht="12.95">
      <c r="A46" s="394"/>
      <c r="B46" s="349" t="s">
        <v>261</v>
      </c>
      <c r="C46" s="34"/>
      <c r="D46" s="33">
        <v>0.9</v>
      </c>
      <c r="E46" s="33">
        <v>0.92</v>
      </c>
      <c r="F46" s="33">
        <v>0.95</v>
      </c>
      <c r="G46" s="33">
        <v>0.93</v>
      </c>
      <c r="H46" s="33">
        <v>0.94</v>
      </c>
      <c r="I46" s="33">
        <v>0.95</v>
      </c>
      <c r="J46" s="33">
        <v>0.96</v>
      </c>
      <c r="K46" s="33">
        <v>0.96</v>
      </c>
      <c r="L46" s="33">
        <v>0.91</v>
      </c>
      <c r="M46" s="33">
        <v>0.93</v>
      </c>
      <c r="N46" s="33">
        <v>0.94</v>
      </c>
      <c r="O46" s="33">
        <v>0.94</v>
      </c>
      <c r="P46" s="179"/>
      <c r="Q46" s="178"/>
      <c r="R46" s="178"/>
      <c r="S46" s="178"/>
      <c r="T46" s="179"/>
      <c r="U46" s="178"/>
      <c r="V46" s="178"/>
      <c r="W46" s="178"/>
      <c r="X46" s="178"/>
      <c r="Y46" s="178"/>
      <c r="Z46" s="179"/>
      <c r="AA46" s="178"/>
      <c r="AB46" s="178"/>
      <c r="AC46" s="178"/>
      <c r="AD46" s="178"/>
      <c r="AE46" s="179"/>
      <c r="AF46" s="178"/>
      <c r="AG46" s="178"/>
      <c r="AH46" s="178"/>
      <c r="AI46" s="178"/>
      <c r="AJ46" s="179"/>
      <c r="AK46" s="374">
        <v>0.94</v>
      </c>
      <c r="AL46" s="178"/>
      <c r="AM46" s="178"/>
      <c r="AN46" s="178"/>
      <c r="AO46" s="179"/>
      <c r="AP46" s="374"/>
      <c r="AQ46" s="190"/>
      <c r="AR46" s="31"/>
      <c r="AS46" s="52"/>
      <c r="AT46" s="34"/>
      <c r="AU46" s="33">
        <v>0.85</v>
      </c>
      <c r="AV46" s="93"/>
      <c r="AW46" s="34" t="s">
        <v>256</v>
      </c>
      <c r="AX46" s="59"/>
      <c r="AY46" s="98" t="s">
        <v>257</v>
      </c>
    </row>
    <row r="47" spans="1:51" ht="12.95">
      <c r="B47" s="175" t="s">
        <v>262</v>
      </c>
      <c r="P47" s="375"/>
      <c r="Q47" s="376"/>
      <c r="R47" s="376"/>
      <c r="S47" s="376"/>
      <c r="T47" s="376"/>
      <c r="U47" s="376"/>
      <c r="V47" s="375"/>
      <c r="W47" s="376"/>
      <c r="X47" s="376"/>
      <c r="Y47" s="376"/>
      <c r="Z47" s="376"/>
      <c r="AA47" s="375"/>
      <c r="AB47" s="376"/>
      <c r="AC47" s="376"/>
      <c r="AD47" s="376"/>
      <c r="AE47" s="376"/>
      <c r="AF47" s="375"/>
      <c r="AG47" s="376"/>
      <c r="AH47" s="376"/>
      <c r="AI47" s="376"/>
      <c r="AJ47" s="376"/>
      <c r="AK47" s="375">
        <v>100</v>
      </c>
      <c r="AL47" s="376"/>
      <c r="AM47" s="376"/>
      <c r="AN47" s="376"/>
      <c r="AO47" s="376"/>
      <c r="AP47" s="375"/>
      <c r="AW47" s="69"/>
    </row>
    <row r="48" spans="1:51" ht="12.95">
      <c r="B48" s="175" t="s">
        <v>263</v>
      </c>
      <c r="P48" s="175"/>
      <c r="Q48" s="175"/>
      <c r="R48" s="175"/>
      <c r="S48" s="175"/>
      <c r="T48" s="175"/>
      <c r="U48" s="175"/>
      <c r="V48" s="175"/>
      <c r="W48" s="175"/>
      <c r="X48" s="175"/>
      <c r="Y48" s="175"/>
      <c r="Z48" s="175"/>
      <c r="AA48" s="175"/>
      <c r="AB48" s="175"/>
      <c r="AC48" s="175"/>
      <c r="AD48" s="175"/>
      <c r="AE48" s="175"/>
      <c r="AF48" s="175"/>
      <c r="AG48" s="175"/>
      <c r="AH48" s="175"/>
      <c r="AI48" s="175"/>
      <c r="AJ48" s="175"/>
      <c r="AK48" s="350">
        <v>455399</v>
      </c>
      <c r="AL48" s="175"/>
      <c r="AM48" s="175"/>
      <c r="AN48" s="175"/>
      <c r="AO48" s="175"/>
      <c r="AP48" s="350"/>
      <c r="AW48" s="69">
        <v>42</v>
      </c>
    </row>
  </sheetData>
  <mergeCells count="14">
    <mergeCell ref="AG4:AK4"/>
    <mergeCell ref="A31:A32"/>
    <mergeCell ref="A34:A35"/>
    <mergeCell ref="AY34:AY35"/>
    <mergeCell ref="A37:A41"/>
    <mergeCell ref="AL4:AP4"/>
    <mergeCell ref="A43:A46"/>
    <mergeCell ref="A22:A29"/>
    <mergeCell ref="Q4:V4"/>
    <mergeCell ref="AB4:AF4"/>
    <mergeCell ref="A6:A7"/>
    <mergeCell ref="A8:A14"/>
    <mergeCell ref="A17:A20"/>
    <mergeCell ref="W4:AA4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17443-3F63-43A6-A3FD-18AA58B01B62}">
  <sheetPr>
    <tabColor rgb="FF7030A0"/>
  </sheetPr>
  <dimension ref="A1:AR48"/>
  <sheetViews>
    <sheetView zoomScaleNormal="100" workbookViewId="0">
      <pane xSplit="3" ySplit="5" topLeftCell="K6" activePane="bottomRight" state="frozen"/>
      <selection pane="bottomRight" activeCell="V1" sqref="V1:Z1048576"/>
      <selection pane="bottomLeft" activeCell="A6" sqref="A6"/>
      <selection pane="topRight" activeCell="D1" sqref="D1"/>
    </sheetView>
  </sheetViews>
  <sheetFormatPr defaultColWidth="8.42578125" defaultRowHeight="12.75" customHeight="1"/>
  <cols>
    <col min="1" max="1" width="18.42578125" style="11" customWidth="1"/>
    <col min="2" max="2" width="34.42578125" style="11" bestFit="1" customWidth="1"/>
    <col min="3" max="3" width="10.42578125" style="11" bestFit="1" customWidth="1"/>
    <col min="4" max="4" width="9.42578125" style="11" bestFit="1" customWidth="1"/>
    <col min="5" max="5" width="10.42578125" style="11" customWidth="1"/>
    <col min="6" max="6" width="11" style="11" bestFit="1" customWidth="1"/>
    <col min="7" max="7" width="11.42578125" style="11" bestFit="1" customWidth="1"/>
    <col min="8" max="8" width="12" style="11" customWidth="1"/>
    <col min="9" max="9" width="11.42578125" style="11" bestFit="1" customWidth="1"/>
    <col min="10" max="10" width="11.42578125" style="11" customWidth="1"/>
    <col min="11" max="12" width="12.28515625" style="11" customWidth="1"/>
    <col min="13" max="13" width="12.42578125" style="11" customWidth="1"/>
    <col min="14" max="14" width="11.42578125" style="11" customWidth="1"/>
    <col min="15" max="15" width="7.42578125" style="11" customWidth="1"/>
    <col min="16" max="17" width="12.42578125" style="11" customWidth="1"/>
    <col min="18" max="18" width="10.42578125" style="11" customWidth="1"/>
    <col min="19" max="19" width="9.42578125" style="11" customWidth="1"/>
    <col min="20" max="20" width="11.42578125" style="11" customWidth="1"/>
    <col min="21" max="21" width="1" style="11" customWidth="1"/>
    <col min="22" max="23" width="12.42578125" style="11" customWidth="1"/>
    <col min="24" max="24" width="11.28515625" style="11" bestFit="1" customWidth="1"/>
    <col min="25" max="25" width="9.42578125" style="11" customWidth="1"/>
    <col min="26" max="26" width="12.42578125" style="11" customWidth="1"/>
    <col min="27" max="28" width="3.28515625" style="11" customWidth="1"/>
    <col min="29" max="29" width="1.28515625" style="89" customWidth="1"/>
    <col min="30" max="30" width="13.42578125" style="11" bestFit="1" customWidth="1"/>
    <col min="31" max="31" width="21.42578125" style="11" bestFit="1" customWidth="1"/>
    <col min="32" max="32" width="1.42578125" style="89" customWidth="1"/>
    <col min="33" max="33" width="8.42578125" style="11"/>
    <col min="34" max="34" width="9.42578125" style="11" bestFit="1" customWidth="1"/>
    <col min="35" max="35" width="82.28515625" style="11" bestFit="1" customWidth="1"/>
    <col min="36" max="16384" width="8.42578125" style="11"/>
  </cols>
  <sheetData>
    <row r="1" spans="1:44" s="3" customFormat="1" ht="15" customHeight="1">
      <c r="A1" s="156" t="s">
        <v>143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I1" s="156"/>
      <c r="AJ1" s="156"/>
      <c r="AK1" s="156"/>
      <c r="AL1" s="156"/>
      <c r="AM1" s="1"/>
      <c r="AN1" s="1"/>
      <c r="AO1" s="2"/>
      <c r="AP1" s="1"/>
      <c r="AQ1" s="1"/>
      <c r="AR1" s="1"/>
    </row>
    <row r="2" spans="1:44" s="3" customFormat="1" ht="15" customHeight="1">
      <c r="A2" s="155" t="s">
        <v>144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6"/>
      <c r="AK2" s="156"/>
      <c r="AL2" s="157"/>
      <c r="AM2" s="1"/>
      <c r="AN2" s="1"/>
      <c r="AO2" s="2"/>
      <c r="AP2" s="1"/>
      <c r="AQ2" s="1"/>
      <c r="AR2" s="1"/>
    </row>
    <row r="3" spans="1:44" ht="12.95">
      <c r="AG3" s="69"/>
    </row>
    <row r="4" spans="1:44" ht="13.5" customHeight="1"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395" t="s">
        <v>145</v>
      </c>
      <c r="Q4" s="395"/>
      <c r="R4" s="395"/>
      <c r="S4" s="395"/>
      <c r="T4" s="395"/>
      <c r="U4" s="395"/>
      <c r="V4" s="395" t="s">
        <v>146</v>
      </c>
      <c r="W4" s="395"/>
      <c r="X4" s="395"/>
      <c r="Y4" s="395"/>
      <c r="Z4" s="395"/>
      <c r="AA4" s="7"/>
      <c r="AB4" s="7"/>
      <c r="AC4" s="91"/>
    </row>
    <row r="5" spans="1:44" ht="14.1">
      <c r="D5" s="84" t="s">
        <v>7</v>
      </c>
      <c r="E5" s="84" t="s">
        <v>8</v>
      </c>
      <c r="F5" s="84" t="s">
        <v>9</v>
      </c>
      <c r="G5" s="84" t="s">
        <v>10</v>
      </c>
      <c r="H5" s="84" t="s">
        <v>11</v>
      </c>
      <c r="I5" s="84" t="s">
        <v>12</v>
      </c>
      <c r="J5" s="84" t="s">
        <v>13</v>
      </c>
      <c r="K5" s="84" t="s">
        <v>14</v>
      </c>
      <c r="L5" s="84" t="s">
        <v>15</v>
      </c>
      <c r="M5" s="84" t="s">
        <v>16</v>
      </c>
      <c r="N5" s="84" t="s">
        <v>17</v>
      </c>
      <c r="O5" s="84" t="s">
        <v>18</v>
      </c>
      <c r="P5" s="57" t="s">
        <v>19</v>
      </c>
      <c r="Q5" s="57" t="s">
        <v>20</v>
      </c>
      <c r="R5" s="57" t="s">
        <v>21</v>
      </c>
      <c r="S5" s="57" t="s">
        <v>22</v>
      </c>
      <c r="T5" s="57" t="s">
        <v>23</v>
      </c>
      <c r="U5" s="58" t="s">
        <v>150</v>
      </c>
      <c r="V5" s="57" t="s">
        <v>19</v>
      </c>
      <c r="W5" s="57" t="s">
        <v>20</v>
      </c>
      <c r="X5" s="57" t="s">
        <v>21</v>
      </c>
      <c r="Y5" s="57" t="s">
        <v>22</v>
      </c>
      <c r="Z5" s="58" t="s">
        <v>150</v>
      </c>
      <c r="AA5" s="110"/>
      <c r="AB5" s="110"/>
      <c r="AC5" s="92"/>
      <c r="AD5" s="95" t="s">
        <v>153</v>
      </c>
      <c r="AE5" s="95" t="s">
        <v>154</v>
      </c>
      <c r="AF5" s="96"/>
      <c r="AG5" s="95" t="s">
        <v>155</v>
      </c>
      <c r="AH5" s="95" t="s">
        <v>156</v>
      </c>
      <c r="AI5" s="95" t="s">
        <v>157</v>
      </c>
    </row>
    <row r="6" spans="1:44" ht="15">
      <c r="A6" s="392"/>
      <c r="B6" s="176" t="s">
        <v>44</v>
      </c>
      <c r="C6" s="175"/>
      <c r="D6" s="177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11">
        <v>1059</v>
      </c>
      <c r="Q6" s="237">
        <v>671</v>
      </c>
      <c r="R6" s="237">
        <v>757</v>
      </c>
      <c r="S6" s="194">
        <v>624</v>
      </c>
      <c r="T6" s="175">
        <v>1055</v>
      </c>
      <c r="U6" s="199">
        <f t="shared" ref="U6:U12" si="0">SUM(P6:T6)</f>
        <v>4166</v>
      </c>
      <c r="V6" s="11">
        <v>1046</v>
      </c>
      <c r="W6" s="237">
        <v>560</v>
      </c>
      <c r="X6" s="237">
        <v>643</v>
      </c>
      <c r="Y6" s="194">
        <v>277</v>
      </c>
      <c r="Z6" s="199">
        <f>SUM(V6:Y6)</f>
        <v>2526</v>
      </c>
      <c r="AA6" s="175"/>
      <c r="AC6" s="91"/>
      <c r="AD6" s="175"/>
      <c r="AE6" s="175"/>
      <c r="AF6" s="91"/>
      <c r="AG6" s="34" t="s">
        <v>158</v>
      </c>
      <c r="AH6" s="175"/>
      <c r="AI6" s="95"/>
    </row>
    <row r="7" spans="1:44" ht="15">
      <c r="A7" s="392"/>
      <c r="B7" s="176" t="s">
        <v>46</v>
      </c>
      <c r="C7" s="175"/>
      <c r="D7" s="177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188">
        <v>1509</v>
      </c>
      <c r="Q7" s="237">
        <v>1009</v>
      </c>
      <c r="R7" s="237">
        <v>904</v>
      </c>
      <c r="S7" s="194">
        <v>692</v>
      </c>
      <c r="T7" s="175">
        <v>1633</v>
      </c>
      <c r="U7" s="199">
        <f>SUM(P7:T7)</f>
        <v>5747</v>
      </c>
      <c r="V7" s="188">
        <v>901</v>
      </c>
      <c r="W7" s="237">
        <v>747</v>
      </c>
      <c r="X7" s="237">
        <v>873</v>
      </c>
      <c r="Y7" s="194">
        <v>155</v>
      </c>
      <c r="Z7" s="199">
        <f t="shared" ref="Z7:Z13" si="1">SUM(V7:Y7)</f>
        <v>2676</v>
      </c>
      <c r="AA7" s="175"/>
      <c r="AC7" s="91"/>
      <c r="AD7" s="175"/>
      <c r="AE7" s="175"/>
      <c r="AF7" s="91"/>
      <c r="AG7" s="34" t="s">
        <v>158</v>
      </c>
      <c r="AH7" s="175"/>
      <c r="AI7" s="95"/>
    </row>
    <row r="8" spans="1:44" ht="12.95">
      <c r="A8" s="392" t="s">
        <v>43</v>
      </c>
      <c r="B8" s="29" t="s">
        <v>159</v>
      </c>
      <c r="C8" s="174" t="s">
        <v>160</v>
      </c>
      <c r="D8" s="34" t="s">
        <v>161</v>
      </c>
      <c r="E8" s="34" t="s">
        <v>162</v>
      </c>
      <c r="F8" s="34" t="s">
        <v>163</v>
      </c>
      <c r="G8" s="107">
        <v>1087182</v>
      </c>
      <c r="H8" s="107">
        <v>678195</v>
      </c>
      <c r="I8" s="107">
        <v>1042704.33</v>
      </c>
      <c r="J8" s="107">
        <f>SUM(J9:J11)</f>
        <v>1365736</v>
      </c>
      <c r="K8" s="107">
        <f>SUM(K9:K11)</f>
        <v>720394</v>
      </c>
      <c r="L8" s="107">
        <f>SUM(L9:L11)</f>
        <v>1057295</v>
      </c>
      <c r="M8" s="107">
        <v>850457</v>
      </c>
      <c r="N8" s="199">
        <v>2045325</v>
      </c>
      <c r="O8" s="107"/>
      <c r="P8" s="107">
        <f>SUM(P9:P11)</f>
        <v>255256</v>
      </c>
      <c r="Q8" s="107">
        <v>129595</v>
      </c>
      <c r="R8" s="107">
        <v>186422</v>
      </c>
      <c r="S8" s="195">
        <f>SUM(S9:S11)</f>
        <v>92649</v>
      </c>
      <c r="T8" s="107">
        <f>SUM(T9:T11)</f>
        <v>186535</v>
      </c>
      <c r="U8" s="199">
        <f t="shared" si="0"/>
        <v>850457</v>
      </c>
      <c r="V8" s="107">
        <f>SUM(V9:V11)</f>
        <v>488125</v>
      </c>
      <c r="W8" s="107">
        <f>SUM(W9:W11)</f>
        <v>83428</v>
      </c>
      <c r="X8" s="107">
        <f>SUM(X9:X11)</f>
        <v>1436856</v>
      </c>
      <c r="Y8" s="195">
        <f>SUM(Y9:Y11)</f>
        <v>36916</v>
      </c>
      <c r="Z8" s="199">
        <f t="shared" si="1"/>
        <v>2045325</v>
      </c>
      <c r="AA8" s="111"/>
      <c r="AB8" s="111"/>
      <c r="AC8" s="93"/>
      <c r="AD8" s="87">
        <v>450000</v>
      </c>
      <c r="AE8" s="100">
        <v>1800000</v>
      </c>
      <c r="AF8" s="93"/>
      <c r="AG8" s="34" t="s">
        <v>158</v>
      </c>
      <c r="AH8" s="227"/>
      <c r="AI8" s="59"/>
    </row>
    <row r="9" spans="1:44" ht="12.75" customHeight="1">
      <c r="A9" s="392"/>
      <c r="B9" s="29" t="s">
        <v>164</v>
      </c>
      <c r="C9" s="29"/>
      <c r="D9" s="34" t="s">
        <v>165</v>
      </c>
      <c r="E9" s="34" t="s">
        <v>166</v>
      </c>
      <c r="F9" s="34" t="s">
        <v>167</v>
      </c>
      <c r="G9" s="107">
        <v>678691</v>
      </c>
      <c r="H9" s="107">
        <v>278012</v>
      </c>
      <c r="I9" s="107">
        <v>672118.89</v>
      </c>
      <c r="J9" s="107">
        <v>994370</v>
      </c>
      <c r="K9" s="107">
        <v>387406</v>
      </c>
      <c r="L9" s="107">
        <v>495744</v>
      </c>
      <c r="M9" s="107">
        <v>402507</v>
      </c>
      <c r="N9" s="199">
        <v>613831</v>
      </c>
      <c r="O9" s="107"/>
      <c r="P9" s="107">
        <v>80246</v>
      </c>
      <c r="Q9" s="107">
        <v>74926</v>
      </c>
      <c r="R9" s="107">
        <v>144463</v>
      </c>
      <c r="S9" s="195">
        <v>28786</v>
      </c>
      <c r="T9" s="107">
        <v>74086</v>
      </c>
      <c r="U9" s="199">
        <f t="shared" si="0"/>
        <v>402507</v>
      </c>
      <c r="V9" s="107">
        <v>390799</v>
      </c>
      <c r="W9" s="107">
        <v>28639</v>
      </c>
      <c r="X9" s="107">
        <v>166187</v>
      </c>
      <c r="Y9" s="195">
        <v>28206</v>
      </c>
      <c r="Z9" s="199">
        <f t="shared" si="1"/>
        <v>613831</v>
      </c>
      <c r="AA9" s="111"/>
      <c r="AB9" s="111"/>
      <c r="AC9" s="93"/>
      <c r="AD9" s="34" t="s">
        <v>168</v>
      </c>
      <c r="AE9" s="34" t="s">
        <v>169</v>
      </c>
      <c r="AF9" s="93"/>
      <c r="AG9" s="34" t="s">
        <v>158</v>
      </c>
      <c r="AH9" s="59"/>
      <c r="AI9" s="59"/>
    </row>
    <row r="10" spans="1:44" ht="12.95">
      <c r="A10" s="392"/>
      <c r="B10" s="29" t="s">
        <v>170</v>
      </c>
      <c r="C10" s="29"/>
      <c r="D10" s="34" t="s">
        <v>171</v>
      </c>
      <c r="E10" s="34" t="s">
        <v>172</v>
      </c>
      <c r="F10" s="34" t="s">
        <v>173</v>
      </c>
      <c r="G10" s="107">
        <v>259345</v>
      </c>
      <c r="H10" s="107">
        <v>255450</v>
      </c>
      <c r="I10" s="107">
        <v>247625</v>
      </c>
      <c r="J10" s="107">
        <v>115215</v>
      </c>
      <c r="K10" s="107">
        <v>124523</v>
      </c>
      <c r="L10" s="107">
        <v>447926</v>
      </c>
      <c r="M10" s="107">
        <v>285236</v>
      </c>
      <c r="N10" s="199">
        <v>1214406</v>
      </c>
      <c r="O10" s="107"/>
      <c r="P10" s="107">
        <v>133234</v>
      </c>
      <c r="Q10" s="107">
        <v>35020</v>
      </c>
      <c r="R10" s="107">
        <v>27131</v>
      </c>
      <c r="S10" s="195">
        <v>12790</v>
      </c>
      <c r="T10" s="107">
        <v>77061</v>
      </c>
      <c r="U10" s="199">
        <f t="shared" si="0"/>
        <v>285236</v>
      </c>
      <c r="V10" s="107">
        <v>38318</v>
      </c>
      <c r="W10" s="107">
        <v>29100</v>
      </c>
      <c r="X10" s="107">
        <v>1145048</v>
      </c>
      <c r="Y10" s="195">
        <v>1940</v>
      </c>
      <c r="Z10" s="199">
        <f t="shared" si="1"/>
        <v>1214406</v>
      </c>
      <c r="AA10" s="111"/>
      <c r="AB10" s="111"/>
      <c r="AC10" s="93"/>
      <c r="AD10" s="34" t="s">
        <v>174</v>
      </c>
      <c r="AE10" s="34" t="s">
        <v>175</v>
      </c>
      <c r="AF10" s="93"/>
      <c r="AG10" s="34" t="s">
        <v>158</v>
      </c>
      <c r="AH10" s="59"/>
      <c r="AI10" s="98"/>
    </row>
    <row r="11" spans="1:44" ht="12.95">
      <c r="A11" s="392"/>
      <c r="B11" s="29" t="s">
        <v>176</v>
      </c>
      <c r="C11" s="29"/>
      <c r="D11" s="34" t="s">
        <v>177</v>
      </c>
      <c r="E11" s="34" t="s">
        <v>178</v>
      </c>
      <c r="F11" s="34" t="s">
        <v>179</v>
      </c>
      <c r="G11" s="107">
        <v>149146</v>
      </c>
      <c r="H11" s="107">
        <v>165037</v>
      </c>
      <c r="I11" s="107">
        <v>122960</v>
      </c>
      <c r="J11" s="107">
        <v>256151</v>
      </c>
      <c r="K11" s="107">
        <v>208465</v>
      </c>
      <c r="L11" s="107">
        <v>113625</v>
      </c>
      <c r="M11" s="107">
        <v>162614</v>
      </c>
      <c r="N11" s="199">
        <v>217088</v>
      </c>
      <c r="O11" s="107"/>
      <c r="P11" s="107">
        <v>41776</v>
      </c>
      <c r="Q11" s="107">
        <v>19649</v>
      </c>
      <c r="R11" s="107">
        <v>14728</v>
      </c>
      <c r="S11" s="195">
        <v>51073</v>
      </c>
      <c r="T11" s="107">
        <v>35388</v>
      </c>
      <c r="U11" s="199">
        <f t="shared" si="0"/>
        <v>162614</v>
      </c>
      <c r="V11" s="107">
        <v>59008</v>
      </c>
      <c r="W11" s="107">
        <v>25689</v>
      </c>
      <c r="X11" s="107">
        <v>125621</v>
      </c>
      <c r="Y11" s="195">
        <v>6770</v>
      </c>
      <c r="Z11" s="199">
        <f t="shared" si="1"/>
        <v>217088</v>
      </c>
      <c r="AA11" s="111"/>
      <c r="AB11" s="111"/>
      <c r="AC11" s="93"/>
      <c r="AD11" s="34" t="s">
        <v>180</v>
      </c>
      <c r="AE11" s="34" t="s">
        <v>181</v>
      </c>
      <c r="AF11" s="93"/>
      <c r="AG11" s="34" t="s">
        <v>158</v>
      </c>
      <c r="AH11" s="59"/>
      <c r="AI11" s="98"/>
    </row>
    <row r="12" spans="1:44" ht="12.75" customHeight="1">
      <c r="A12" s="392"/>
      <c r="B12" s="29"/>
      <c r="C12" s="29"/>
      <c r="D12" s="34"/>
      <c r="E12" s="34"/>
      <c r="F12" s="34"/>
      <c r="G12" s="107">
        <v>0</v>
      </c>
      <c r="H12" s="107">
        <v>0</v>
      </c>
      <c r="I12" s="107"/>
      <c r="J12" s="107"/>
      <c r="K12" s="107"/>
      <c r="L12" s="107"/>
      <c r="M12" s="199">
        <v>0</v>
      </c>
      <c r="N12" s="107"/>
      <c r="O12" s="107"/>
      <c r="P12" s="107"/>
      <c r="Q12" s="107"/>
      <c r="R12" s="107"/>
      <c r="S12" s="195"/>
      <c r="T12" s="107"/>
      <c r="U12" s="199">
        <f t="shared" si="0"/>
        <v>0</v>
      </c>
      <c r="V12" s="107"/>
      <c r="W12" s="107"/>
      <c r="X12" s="107"/>
      <c r="Y12" s="195"/>
      <c r="Z12" s="199">
        <f t="shared" si="1"/>
        <v>0</v>
      </c>
      <c r="AA12" s="111"/>
      <c r="AB12" s="111"/>
      <c r="AC12" s="52"/>
      <c r="AD12" s="34"/>
      <c r="AE12" s="34"/>
      <c r="AF12" s="93"/>
      <c r="AG12" s="34"/>
      <c r="AH12" s="59"/>
      <c r="AI12" s="59"/>
    </row>
    <row r="13" spans="1:44" ht="12.95">
      <c r="A13" s="392"/>
      <c r="B13" s="29" t="s">
        <v>182</v>
      </c>
      <c r="C13" s="29"/>
      <c r="D13" s="34" t="s">
        <v>183</v>
      </c>
      <c r="E13" s="34" t="s">
        <v>184</v>
      </c>
      <c r="F13" s="34" t="s">
        <v>185</v>
      </c>
      <c r="G13" s="107">
        <v>319586</v>
      </c>
      <c r="H13" s="107">
        <v>196103</v>
      </c>
      <c r="I13" s="107">
        <v>355490</v>
      </c>
      <c r="J13" s="107">
        <v>254418</v>
      </c>
      <c r="K13" s="107">
        <v>199523</v>
      </c>
      <c r="L13" s="107">
        <v>387389.73</v>
      </c>
      <c r="M13" s="107">
        <v>429411.88</v>
      </c>
      <c r="N13" s="199">
        <v>334764.82</v>
      </c>
      <c r="O13" s="107"/>
      <c r="P13" s="107">
        <v>43238.21</v>
      </c>
      <c r="Q13" s="107">
        <v>36394</v>
      </c>
      <c r="R13" s="107">
        <v>74324</v>
      </c>
      <c r="S13" s="195">
        <v>85456.81</v>
      </c>
      <c r="T13" s="107">
        <v>189998.86</v>
      </c>
      <c r="U13" s="107">
        <f>SUM(P13:T13)</f>
        <v>429411.88</v>
      </c>
      <c r="V13" s="107">
        <v>31523</v>
      </c>
      <c r="W13" s="107">
        <v>146674</v>
      </c>
      <c r="X13" s="107">
        <v>118374</v>
      </c>
      <c r="Y13" s="195">
        <v>38193.82</v>
      </c>
      <c r="Z13" s="199">
        <f t="shared" si="1"/>
        <v>334764.82</v>
      </c>
      <c r="AA13" s="111"/>
      <c r="AB13" s="111"/>
      <c r="AC13" s="52"/>
      <c r="AD13" s="34"/>
      <c r="AE13" s="34" t="s">
        <v>186</v>
      </c>
      <c r="AF13" s="93"/>
      <c r="AG13" s="34" t="s">
        <v>158</v>
      </c>
      <c r="AH13" s="106" t="e">
        <f>U13/AE13</f>
        <v>#VALUE!</v>
      </c>
      <c r="AI13" s="98"/>
    </row>
    <row r="14" spans="1:44" ht="12.75" customHeight="1">
      <c r="A14" s="392"/>
      <c r="B14" s="29" t="s">
        <v>187</v>
      </c>
      <c r="C14" s="29"/>
      <c r="D14" s="34"/>
      <c r="E14" s="34" t="s">
        <v>188</v>
      </c>
      <c r="F14" s="34" t="s">
        <v>189</v>
      </c>
      <c r="G14" s="107" t="s">
        <v>190</v>
      </c>
      <c r="H14" s="107">
        <v>326430</v>
      </c>
      <c r="I14" s="34"/>
      <c r="J14" s="107"/>
      <c r="K14" s="107">
        <v>155000</v>
      </c>
      <c r="L14" s="107">
        <v>276000</v>
      </c>
      <c r="M14" s="107">
        <v>422785.81</v>
      </c>
      <c r="N14" s="107">
        <v>193744</v>
      </c>
      <c r="O14" s="107"/>
      <c r="P14" s="107"/>
      <c r="Q14" s="107"/>
      <c r="R14" s="107"/>
      <c r="S14" s="107"/>
      <c r="T14" s="107"/>
      <c r="U14" s="107"/>
      <c r="V14" s="107">
        <v>193744</v>
      </c>
      <c r="W14" s="107">
        <v>193744</v>
      </c>
      <c r="X14" s="107">
        <v>193744</v>
      </c>
      <c r="Y14" s="107">
        <v>193744</v>
      </c>
      <c r="Z14" s="199"/>
      <c r="AA14" s="111"/>
      <c r="AB14" s="111"/>
      <c r="AC14" s="52"/>
      <c r="AD14" s="34"/>
      <c r="AE14" s="34"/>
      <c r="AF14" s="93"/>
      <c r="AG14" s="34" t="s">
        <v>158</v>
      </c>
      <c r="AH14" s="59"/>
      <c r="AI14" s="59"/>
    </row>
    <row r="15" spans="1:44" ht="12.95">
      <c r="AG15" s="69"/>
    </row>
    <row r="16" spans="1:44" ht="12.95"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52"/>
      <c r="AD16" s="31"/>
      <c r="AE16" s="31"/>
      <c r="AF16" s="52"/>
      <c r="AG16" s="79"/>
    </row>
    <row r="17" spans="1:37" ht="13.5" customHeight="1">
      <c r="A17" s="396" t="s">
        <v>191</v>
      </c>
      <c r="B17" s="29" t="s">
        <v>192</v>
      </c>
      <c r="C17" s="29"/>
      <c r="D17" s="34"/>
      <c r="E17" s="34">
        <v>20</v>
      </c>
      <c r="F17" s="191">
        <v>39</v>
      </c>
      <c r="G17" s="191">
        <v>27</v>
      </c>
      <c r="H17" s="191">
        <v>27</v>
      </c>
      <c r="I17" s="191">
        <v>20</v>
      </c>
      <c r="J17" s="34">
        <v>13</v>
      </c>
      <c r="K17" s="34">
        <v>18</v>
      </c>
      <c r="L17" s="34"/>
      <c r="M17" s="34"/>
      <c r="N17" s="34"/>
      <c r="O17" s="29"/>
      <c r="P17" s="178"/>
      <c r="Q17" s="178"/>
      <c r="R17" s="178"/>
      <c r="S17" s="178">
        <v>3</v>
      </c>
      <c r="T17" s="178">
        <v>2</v>
      </c>
      <c r="U17" s="178"/>
      <c r="V17" s="178">
        <v>8</v>
      </c>
      <c r="W17" s="178">
        <v>1</v>
      </c>
      <c r="X17" s="178">
        <v>8</v>
      </c>
      <c r="Y17" s="178">
        <v>3</v>
      </c>
      <c r="Z17" s="178"/>
      <c r="AA17" s="31"/>
      <c r="AB17" s="31"/>
      <c r="AC17" s="52"/>
      <c r="AD17" s="34">
        <v>250</v>
      </c>
      <c r="AE17" s="34"/>
      <c r="AF17" s="93"/>
      <c r="AG17" s="191" t="s">
        <v>193</v>
      </c>
      <c r="AH17" s="59"/>
      <c r="AI17" s="98" t="s">
        <v>194</v>
      </c>
    </row>
    <row r="18" spans="1:37" ht="12.95">
      <c r="A18" s="396"/>
      <c r="B18" s="29" t="s">
        <v>264</v>
      </c>
      <c r="C18" s="29"/>
      <c r="D18" s="87">
        <v>10001.92</v>
      </c>
      <c r="E18" s="87">
        <v>8604</v>
      </c>
      <c r="F18" s="249">
        <v>4885</v>
      </c>
      <c r="G18" s="249">
        <v>3372.5</v>
      </c>
      <c r="H18" s="249">
        <v>2458.5</v>
      </c>
      <c r="I18" s="249">
        <v>1413</v>
      </c>
      <c r="J18" s="87">
        <v>1651</v>
      </c>
      <c r="K18" s="87">
        <v>1179</v>
      </c>
      <c r="L18" s="87">
        <v>616</v>
      </c>
      <c r="M18" s="87">
        <v>1758</v>
      </c>
      <c r="N18" s="87">
        <v>2343</v>
      </c>
      <c r="O18" s="29"/>
      <c r="P18" s="178"/>
      <c r="Q18" s="178"/>
      <c r="R18" s="178"/>
      <c r="S18" s="178"/>
      <c r="T18" s="178"/>
      <c r="U18" s="178"/>
      <c r="V18" s="87">
        <v>436</v>
      </c>
      <c r="W18" s="87">
        <v>476</v>
      </c>
      <c r="X18" s="87">
        <v>487</v>
      </c>
      <c r="Y18" s="87">
        <v>944</v>
      </c>
      <c r="Z18" s="87">
        <f>SUM(V18:Y18)</f>
        <v>2343</v>
      </c>
      <c r="AA18" s="31"/>
      <c r="AB18" s="31"/>
      <c r="AC18" s="52"/>
      <c r="AD18" s="34">
        <v>250</v>
      </c>
      <c r="AE18" s="34"/>
      <c r="AF18" s="93"/>
      <c r="AG18" s="191" t="s">
        <v>212</v>
      </c>
      <c r="AH18" s="59"/>
      <c r="AI18" s="98" t="s">
        <v>213</v>
      </c>
    </row>
    <row r="19" spans="1:37" ht="12.95">
      <c r="A19" s="396"/>
      <c r="B19" s="90" t="s">
        <v>214</v>
      </c>
      <c r="C19" s="29" t="s">
        <v>215</v>
      </c>
      <c r="D19" s="34"/>
      <c r="E19" s="34" t="s">
        <v>216</v>
      </c>
      <c r="F19" s="191"/>
      <c r="G19" s="191"/>
      <c r="H19" s="191"/>
      <c r="I19" s="191"/>
      <c r="J19" s="34"/>
      <c r="K19" s="34"/>
      <c r="L19" s="34"/>
      <c r="M19" s="34"/>
      <c r="N19" s="34"/>
      <c r="O19" s="29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31"/>
      <c r="AB19" s="31"/>
      <c r="AC19" s="52"/>
      <c r="AD19" s="34" t="s">
        <v>217</v>
      </c>
      <c r="AE19" s="34"/>
      <c r="AF19" s="93"/>
      <c r="AG19" s="191" t="s">
        <v>212</v>
      </c>
      <c r="AH19" s="59"/>
      <c r="AI19" s="98" t="s">
        <v>213</v>
      </c>
    </row>
    <row r="20" spans="1:37" ht="12.95">
      <c r="A20" s="396"/>
      <c r="B20" s="90"/>
      <c r="C20" s="29" t="s">
        <v>218</v>
      </c>
      <c r="D20" s="34"/>
      <c r="E20" s="34" t="s">
        <v>219</v>
      </c>
      <c r="F20" s="191"/>
      <c r="G20" s="191"/>
      <c r="H20" s="191"/>
      <c r="I20" s="191"/>
      <c r="J20" s="34"/>
      <c r="K20" s="34"/>
      <c r="L20" s="34"/>
      <c r="M20" s="34"/>
      <c r="N20" s="34"/>
      <c r="O20" s="29"/>
      <c r="P20" s="178"/>
      <c r="Q20" s="178"/>
      <c r="R20" s="178"/>
      <c r="S20" s="178"/>
      <c r="T20" s="178"/>
      <c r="U20" s="178"/>
      <c r="V20" s="178"/>
      <c r="W20" s="178"/>
      <c r="X20" s="178"/>
      <c r="Y20" s="178"/>
      <c r="Z20" s="178"/>
      <c r="AA20" s="31"/>
      <c r="AB20" s="31"/>
      <c r="AC20" s="52"/>
      <c r="AD20" s="34" t="s">
        <v>217</v>
      </c>
      <c r="AE20" s="34"/>
      <c r="AF20" s="93"/>
      <c r="AG20" s="191" t="s">
        <v>212</v>
      </c>
      <c r="AH20" s="59"/>
      <c r="AI20" s="98" t="s">
        <v>213</v>
      </c>
    </row>
    <row r="21" spans="1:37" ht="12.95">
      <c r="B21" s="11" t="s">
        <v>220</v>
      </c>
      <c r="P21" s="198"/>
      <c r="Q21" s="198"/>
      <c r="R21" s="198"/>
      <c r="S21" s="198"/>
      <c r="T21" s="198"/>
      <c r="U21" s="198"/>
      <c r="V21" s="198"/>
      <c r="W21" s="198"/>
      <c r="X21" s="198"/>
      <c r="Y21" s="198"/>
      <c r="Z21" s="198"/>
      <c r="AG21" s="69"/>
    </row>
    <row r="22" spans="1:37" ht="12.95">
      <c r="A22" s="392" t="s">
        <v>221</v>
      </c>
      <c r="B22" s="29" t="s">
        <v>222</v>
      </c>
      <c r="C22" s="34"/>
      <c r="D22" s="179">
        <v>236</v>
      </c>
      <c r="E22" s="179">
        <v>434</v>
      </c>
      <c r="F22" s="179">
        <v>424</v>
      </c>
      <c r="G22" s="179">
        <v>444</v>
      </c>
      <c r="H22" s="179">
        <v>414</v>
      </c>
      <c r="I22" s="179">
        <v>486</v>
      </c>
      <c r="J22" s="228">
        <v>209</v>
      </c>
      <c r="K22" s="179">
        <v>244</v>
      </c>
      <c r="L22" s="179">
        <v>247</v>
      </c>
      <c r="M22" s="179">
        <v>139</v>
      </c>
      <c r="N22" s="34"/>
      <c r="O22" s="34"/>
      <c r="P22" s="213">
        <f>15+19</f>
        <v>34</v>
      </c>
      <c r="Q22" s="214">
        <v>19</v>
      </c>
      <c r="R22" s="214">
        <v>31</v>
      </c>
      <c r="S22" s="214">
        <v>55</v>
      </c>
      <c r="T22" s="214"/>
      <c r="U22" s="164">
        <f>SUM(P22:T22)</f>
        <v>139</v>
      </c>
      <c r="V22" s="213">
        <v>85</v>
      </c>
      <c r="W22" s="214">
        <v>34</v>
      </c>
      <c r="X22" s="214">
        <v>36</v>
      </c>
      <c r="Y22" s="214">
        <v>6</v>
      </c>
      <c r="Z22" s="164">
        <f>SUM(V22:Y22)</f>
        <v>161</v>
      </c>
      <c r="AA22" s="79"/>
      <c r="AB22" s="79"/>
      <c r="AC22" s="93"/>
      <c r="AD22" s="34"/>
      <c r="AE22" s="34"/>
      <c r="AF22" s="93"/>
      <c r="AG22" s="34" t="s">
        <v>223</v>
      </c>
      <c r="AH22" s="59"/>
      <c r="AI22" s="59"/>
    </row>
    <row r="23" spans="1:37" s="83" customFormat="1" ht="12.95">
      <c r="A23" s="392"/>
      <c r="B23" s="85" t="s">
        <v>224</v>
      </c>
      <c r="C23" s="86"/>
      <c r="D23" s="229">
        <v>274</v>
      </c>
      <c r="E23" s="229">
        <v>386</v>
      </c>
      <c r="F23" s="229">
        <v>381</v>
      </c>
      <c r="G23" s="229">
        <v>426</v>
      </c>
      <c r="H23" s="229">
        <v>394</v>
      </c>
      <c r="I23" s="229">
        <v>372</v>
      </c>
      <c r="J23" s="229">
        <v>307</v>
      </c>
      <c r="K23" s="229">
        <v>272</v>
      </c>
      <c r="L23" s="229">
        <v>348</v>
      </c>
      <c r="M23" s="229">
        <v>348</v>
      </c>
      <c r="N23" s="86"/>
      <c r="O23" s="86"/>
      <c r="P23" s="217">
        <v>87</v>
      </c>
      <c r="Q23" s="217">
        <v>87</v>
      </c>
      <c r="R23" s="217">
        <v>87</v>
      </c>
      <c r="S23" s="217">
        <v>87</v>
      </c>
      <c r="T23" s="217"/>
      <c r="U23" s="161">
        <f>SUM(P23:T23)</f>
        <v>348</v>
      </c>
      <c r="V23" s="217">
        <v>52</v>
      </c>
      <c r="W23" s="217">
        <v>52</v>
      </c>
      <c r="X23" s="217">
        <v>52</v>
      </c>
      <c r="Y23" s="217">
        <v>52</v>
      </c>
      <c r="Z23" s="161">
        <f>SUM(V23:Y23)</f>
        <v>208</v>
      </c>
      <c r="AA23" s="112"/>
      <c r="AB23" s="112"/>
      <c r="AC23" s="94"/>
      <c r="AD23" s="86">
        <v>52</v>
      </c>
      <c r="AE23" s="161">
        <v>208</v>
      </c>
      <c r="AF23" s="94"/>
      <c r="AG23" s="34" t="s">
        <v>223</v>
      </c>
      <c r="AH23" s="99"/>
      <c r="AI23" s="59"/>
    </row>
    <row r="24" spans="1:37" s="83" customFormat="1" ht="12.95">
      <c r="A24" s="392"/>
      <c r="B24" s="29" t="s">
        <v>225</v>
      </c>
      <c r="C24" s="86"/>
      <c r="D24" s="179">
        <v>21</v>
      </c>
      <c r="E24" s="179">
        <v>30</v>
      </c>
      <c r="F24" s="179">
        <v>46</v>
      </c>
      <c r="G24" s="179">
        <v>50</v>
      </c>
      <c r="H24" s="179">
        <v>28</v>
      </c>
      <c r="I24" s="179">
        <v>40</v>
      </c>
      <c r="J24" s="228">
        <v>23</v>
      </c>
      <c r="K24" s="229">
        <v>17</v>
      </c>
      <c r="L24" s="229">
        <v>45</v>
      </c>
      <c r="M24" s="229">
        <v>31</v>
      </c>
      <c r="N24" s="86"/>
      <c r="O24" s="86"/>
      <c r="P24" s="214">
        <v>12</v>
      </c>
      <c r="Q24" s="214">
        <v>10</v>
      </c>
      <c r="R24" s="214">
        <v>3</v>
      </c>
      <c r="S24" s="214">
        <v>4</v>
      </c>
      <c r="T24" s="214"/>
      <c r="U24" s="164">
        <f>SUM(P24:T24)</f>
        <v>29</v>
      </c>
      <c r="V24" s="214">
        <v>11</v>
      </c>
      <c r="W24" s="214">
        <v>3</v>
      </c>
      <c r="X24" s="214">
        <v>9</v>
      </c>
      <c r="Y24" s="214">
        <v>1</v>
      </c>
      <c r="Z24" s="164">
        <f>SUM(V24:Y24)</f>
        <v>24</v>
      </c>
      <c r="AA24" s="112"/>
      <c r="AB24" s="112"/>
      <c r="AC24" s="94"/>
      <c r="AD24" s="86"/>
      <c r="AE24" s="161"/>
      <c r="AF24" s="94"/>
      <c r="AG24" s="34" t="s">
        <v>223</v>
      </c>
      <c r="AH24" s="99"/>
      <c r="AI24" s="59"/>
    </row>
    <row r="25" spans="1:37" s="83" customFormat="1" ht="12.95">
      <c r="A25" s="392"/>
      <c r="B25" s="85" t="s">
        <v>226</v>
      </c>
      <c r="C25" s="86"/>
      <c r="D25" s="229">
        <v>55</v>
      </c>
      <c r="E25" s="229">
        <v>77</v>
      </c>
      <c r="F25" s="229">
        <v>76</v>
      </c>
      <c r="G25" s="229">
        <v>85</v>
      </c>
      <c r="H25" s="229">
        <v>79</v>
      </c>
      <c r="I25" s="229">
        <v>74</v>
      </c>
      <c r="J25" s="229">
        <v>61</v>
      </c>
      <c r="K25" s="229">
        <v>54</v>
      </c>
      <c r="L25" s="229">
        <v>84</v>
      </c>
      <c r="M25" s="229">
        <v>72</v>
      </c>
      <c r="N25" s="86"/>
      <c r="O25" s="86"/>
      <c r="P25" s="218">
        <v>18</v>
      </c>
      <c r="Q25" s="218">
        <v>18</v>
      </c>
      <c r="R25" s="218">
        <v>18</v>
      </c>
      <c r="S25" s="218">
        <v>18</v>
      </c>
      <c r="T25" s="217"/>
      <c r="U25" s="161">
        <f>SUM(P25:T25)</f>
        <v>72</v>
      </c>
      <c r="V25" s="218">
        <v>13</v>
      </c>
      <c r="W25" s="218">
        <v>13</v>
      </c>
      <c r="X25" s="218">
        <v>13</v>
      </c>
      <c r="Y25" s="218">
        <v>13</v>
      </c>
      <c r="Z25" s="161">
        <f>SUM(V25:Y25)</f>
        <v>52</v>
      </c>
      <c r="AA25" s="112"/>
      <c r="AB25" s="112"/>
      <c r="AC25" s="94"/>
      <c r="AD25" s="240">
        <v>13</v>
      </c>
      <c r="AE25" s="241">
        <v>52</v>
      </c>
      <c r="AF25" s="94"/>
      <c r="AG25" s="34" t="s">
        <v>223</v>
      </c>
      <c r="AH25" s="99"/>
      <c r="AI25" s="59"/>
    </row>
    <row r="26" spans="1:37" s="83" customFormat="1" ht="12.95">
      <c r="A26" s="392"/>
      <c r="B26" s="85" t="s">
        <v>227</v>
      </c>
      <c r="C26" s="86"/>
      <c r="D26" s="230">
        <f t="shared" ref="D26:K26" si="2">D24/D22</f>
        <v>8.8983050847457626E-2</v>
      </c>
      <c r="E26" s="230">
        <f t="shared" si="2"/>
        <v>6.9124423963133647E-2</v>
      </c>
      <c r="F26" s="230">
        <f t="shared" si="2"/>
        <v>0.10849056603773585</v>
      </c>
      <c r="G26" s="230">
        <f t="shared" si="2"/>
        <v>0.11261261261261261</v>
      </c>
      <c r="H26" s="230">
        <f t="shared" si="2"/>
        <v>6.7632850241545889E-2</v>
      </c>
      <c r="I26" s="230">
        <f t="shared" si="2"/>
        <v>8.2304526748971193E-2</v>
      </c>
      <c r="J26" s="230">
        <f t="shared" si="2"/>
        <v>0.11004784688995216</v>
      </c>
      <c r="K26" s="230">
        <f t="shared" si="2"/>
        <v>6.9672131147540978E-2</v>
      </c>
      <c r="L26" s="230">
        <v>0.18</v>
      </c>
      <c r="M26" s="230">
        <v>0.22302158273381295</v>
      </c>
      <c r="N26" s="86"/>
      <c r="O26" s="86"/>
      <c r="P26" s="215">
        <f>P24/P22</f>
        <v>0.35294117647058826</v>
      </c>
      <c r="Q26" s="215">
        <f>Q24/Q22</f>
        <v>0.52631578947368418</v>
      </c>
      <c r="R26" s="215">
        <f>R24/R22</f>
        <v>9.6774193548387094E-2</v>
      </c>
      <c r="S26" s="215">
        <f>S24/S22</f>
        <v>7.2727272727272724E-2</v>
      </c>
      <c r="T26" s="215"/>
      <c r="U26" s="215">
        <f>U24/U22</f>
        <v>0.20863309352517986</v>
      </c>
      <c r="V26" s="215">
        <f>V24/V22</f>
        <v>0.12941176470588237</v>
      </c>
      <c r="W26" s="215">
        <f>3/W22</f>
        <v>8.8235294117647065E-2</v>
      </c>
      <c r="X26" s="215">
        <f>X24/X22</f>
        <v>0.25</v>
      </c>
      <c r="Y26" s="215">
        <v>0.17</v>
      </c>
      <c r="Z26" s="215">
        <f>Z24/Z22</f>
        <v>0.14906832298136646</v>
      </c>
      <c r="AA26" s="112"/>
      <c r="AB26" s="112"/>
      <c r="AC26" s="94"/>
      <c r="AD26" s="239">
        <v>0.25</v>
      </c>
      <c r="AE26" s="239">
        <v>0.25</v>
      </c>
      <c r="AF26" s="94"/>
      <c r="AG26" s="34" t="s">
        <v>223</v>
      </c>
      <c r="AH26" s="99"/>
      <c r="AI26" s="59"/>
    </row>
    <row r="27" spans="1:37" ht="12.95">
      <c r="A27" s="392"/>
      <c r="B27" s="29" t="s">
        <v>228</v>
      </c>
      <c r="C27" s="34"/>
      <c r="D27" s="179" t="s">
        <v>229</v>
      </c>
      <c r="E27" s="231">
        <v>393256</v>
      </c>
      <c r="F27" s="231">
        <v>1093317</v>
      </c>
      <c r="G27" s="232">
        <v>1288873</v>
      </c>
      <c r="H27" s="232">
        <v>285953</v>
      </c>
      <c r="I27" s="232">
        <v>297922</v>
      </c>
      <c r="J27" s="232">
        <v>179923</v>
      </c>
      <c r="K27" s="235">
        <v>136852</v>
      </c>
      <c r="L27" s="195">
        <v>447925.75</v>
      </c>
      <c r="M27" s="195">
        <v>334391.25</v>
      </c>
      <c r="N27" s="34"/>
      <c r="O27" s="34"/>
      <c r="P27" s="216">
        <f>119601+48273</f>
        <v>167874</v>
      </c>
      <c r="Q27" s="216">
        <v>72666.25</v>
      </c>
      <c r="R27" s="216">
        <v>16790</v>
      </c>
      <c r="S27" s="216">
        <v>77061</v>
      </c>
      <c r="T27" s="109"/>
      <c r="U27" s="107">
        <f>SUM(P27:T27)</f>
        <v>334391.25</v>
      </c>
      <c r="V27" s="216">
        <v>185310.5</v>
      </c>
      <c r="W27" s="216">
        <v>78005</v>
      </c>
      <c r="X27" s="216">
        <v>61643</v>
      </c>
      <c r="Y27" s="216">
        <v>59919</v>
      </c>
      <c r="Z27" s="107">
        <f>SUM(V27:Y27)</f>
        <v>384877.5</v>
      </c>
      <c r="AA27" s="112"/>
      <c r="AB27" s="112"/>
      <c r="AC27" s="93"/>
      <c r="AF27" s="93"/>
      <c r="AG27" s="34" t="s">
        <v>223</v>
      </c>
      <c r="AH27" s="59"/>
      <c r="AI27" s="59"/>
    </row>
    <row r="28" spans="1:37" ht="12.95">
      <c r="A28" s="392"/>
      <c r="B28" s="85" t="s">
        <v>230</v>
      </c>
      <c r="C28" s="86"/>
      <c r="D28" s="233">
        <v>548830</v>
      </c>
      <c r="E28" s="233">
        <v>772696</v>
      </c>
      <c r="F28" s="233">
        <v>761326</v>
      </c>
      <c r="G28" s="232">
        <v>852347</v>
      </c>
      <c r="H28" s="232">
        <v>614020</v>
      </c>
      <c r="I28" s="232">
        <v>744806</v>
      </c>
      <c r="J28" s="232">
        <v>614020</v>
      </c>
      <c r="K28" s="236">
        <v>116574</v>
      </c>
      <c r="L28" s="234">
        <v>696140</v>
      </c>
      <c r="M28" s="234">
        <v>697000</v>
      </c>
      <c r="N28" s="86"/>
      <c r="O28" s="86"/>
      <c r="P28" s="108">
        <v>174250</v>
      </c>
      <c r="Q28" s="108">
        <v>174250</v>
      </c>
      <c r="R28" s="108">
        <v>174250</v>
      </c>
      <c r="S28" s="108">
        <v>174250</v>
      </c>
      <c r="T28" s="108"/>
      <c r="U28" s="187">
        <f>SUM(P28:T28)</f>
        <v>697000</v>
      </c>
      <c r="V28" s="108">
        <v>174420</v>
      </c>
      <c r="W28" s="108">
        <v>174420</v>
      </c>
      <c r="X28" s="108">
        <v>174420</v>
      </c>
      <c r="Y28" s="108">
        <v>174420</v>
      </c>
      <c r="Z28" s="187">
        <f>SUM(V28:Y28)</f>
        <v>697680</v>
      </c>
      <c r="AA28" s="112"/>
      <c r="AB28" s="112"/>
      <c r="AC28" s="94"/>
      <c r="AD28" s="109">
        <v>174250</v>
      </c>
      <c r="AE28" s="100">
        <v>697000</v>
      </c>
      <c r="AF28" s="94"/>
      <c r="AG28" s="34" t="s">
        <v>223</v>
      </c>
      <c r="AH28" s="99"/>
      <c r="AI28" s="99"/>
      <c r="AJ28" s="83"/>
      <c r="AK28" s="83"/>
    </row>
    <row r="29" spans="1:37" ht="12.95">
      <c r="A29" s="392"/>
      <c r="B29" s="29" t="s">
        <v>42</v>
      </c>
      <c r="C29" s="34"/>
      <c r="D29" s="179"/>
      <c r="E29" s="179">
        <v>3</v>
      </c>
      <c r="F29" s="179"/>
      <c r="G29" s="179">
        <v>11</v>
      </c>
      <c r="H29" s="179">
        <v>15</v>
      </c>
      <c r="I29" s="179">
        <v>4</v>
      </c>
      <c r="J29" s="179">
        <v>0</v>
      </c>
      <c r="K29" s="179">
        <v>0</v>
      </c>
      <c r="L29" s="179"/>
      <c r="M29" s="179"/>
      <c r="N29" s="34"/>
      <c r="O29" s="34"/>
      <c r="P29" s="34"/>
      <c r="Q29" s="34"/>
      <c r="R29" s="34"/>
      <c r="S29" s="34"/>
      <c r="T29" s="34"/>
      <c r="U29" s="164">
        <f>SUM(P29:T29)</f>
        <v>0</v>
      </c>
      <c r="V29" s="34"/>
      <c r="W29" s="34"/>
      <c r="X29" s="34"/>
      <c r="Y29" s="34"/>
      <c r="Z29" s="164"/>
      <c r="AA29" s="112"/>
      <c r="AB29" s="112"/>
      <c r="AC29" s="93"/>
      <c r="AD29" s="34"/>
      <c r="AE29" s="34"/>
      <c r="AF29" s="93"/>
      <c r="AG29" s="34" t="s">
        <v>223</v>
      </c>
      <c r="AH29" s="59"/>
      <c r="AI29" s="59"/>
    </row>
    <row r="30" spans="1:37" ht="12.95">
      <c r="AG30" s="69"/>
    </row>
    <row r="31" spans="1:37" ht="13.5" customHeight="1">
      <c r="A31" s="397" t="s">
        <v>234</v>
      </c>
      <c r="B31" s="29" t="s">
        <v>235</v>
      </c>
      <c r="C31" s="29" t="s">
        <v>236</v>
      </c>
      <c r="D31" s="34">
        <v>17</v>
      </c>
      <c r="E31" s="34">
        <v>21</v>
      </c>
      <c r="F31" s="34">
        <v>16</v>
      </c>
      <c r="G31" s="34">
        <v>16</v>
      </c>
      <c r="H31" s="34">
        <v>24</v>
      </c>
      <c r="I31" s="34">
        <v>32</v>
      </c>
      <c r="J31" s="34">
        <v>29</v>
      </c>
      <c r="K31" s="34">
        <v>19</v>
      </c>
      <c r="L31" s="34">
        <v>25</v>
      </c>
      <c r="M31" s="34">
        <v>25</v>
      </c>
      <c r="N31" s="34">
        <v>14</v>
      </c>
      <c r="O31" s="34"/>
      <c r="P31" s="34">
        <v>3</v>
      </c>
      <c r="Q31" s="34">
        <v>13</v>
      </c>
      <c r="R31" s="34">
        <v>4</v>
      </c>
      <c r="S31" s="34">
        <v>5</v>
      </c>
      <c r="T31" s="29"/>
      <c r="U31" s="34">
        <v>25</v>
      </c>
      <c r="V31" s="34">
        <v>2</v>
      </c>
      <c r="W31" s="34">
        <v>7</v>
      </c>
      <c r="X31" s="34">
        <v>5</v>
      </c>
      <c r="Y31" s="34">
        <v>0</v>
      </c>
      <c r="Z31" s="34">
        <v>14</v>
      </c>
      <c r="AA31" s="31"/>
      <c r="AB31" s="31"/>
      <c r="AC31" s="52"/>
      <c r="AD31" s="34">
        <v>6</v>
      </c>
      <c r="AE31" s="34" t="s">
        <v>237</v>
      </c>
      <c r="AF31" s="93"/>
      <c r="AG31" s="34" t="s">
        <v>238</v>
      </c>
      <c r="AH31" s="59"/>
      <c r="AI31" s="98"/>
    </row>
    <row r="32" spans="1:37" ht="12.95">
      <c r="A32" s="397"/>
      <c r="B32" s="29" t="s">
        <v>239</v>
      </c>
      <c r="C32" s="29" t="s">
        <v>240</v>
      </c>
      <c r="D32" s="34" t="s">
        <v>241</v>
      </c>
      <c r="E32" s="34" t="s">
        <v>242</v>
      </c>
      <c r="F32" s="100">
        <v>108000</v>
      </c>
      <c r="G32" s="100">
        <v>102300</v>
      </c>
      <c r="H32" s="100">
        <v>149830</v>
      </c>
      <c r="I32" s="100">
        <v>194512</v>
      </c>
      <c r="J32" s="100">
        <v>171000</v>
      </c>
      <c r="K32" s="100">
        <v>73900</v>
      </c>
      <c r="L32" s="34">
        <v>124000</v>
      </c>
      <c r="M32" s="100">
        <v>87216</v>
      </c>
      <c r="N32" s="100">
        <v>40180</v>
      </c>
      <c r="O32" s="34"/>
      <c r="P32" s="100">
        <v>13600</v>
      </c>
      <c r="Q32" s="100">
        <v>43426</v>
      </c>
      <c r="R32" s="100">
        <v>19000</v>
      </c>
      <c r="S32" s="100">
        <v>11190</v>
      </c>
      <c r="T32" s="202"/>
      <c r="U32" s="100">
        <v>87216</v>
      </c>
      <c r="V32" s="100">
        <v>10200</v>
      </c>
      <c r="W32" s="100">
        <v>11050</v>
      </c>
      <c r="X32" s="100">
        <v>18930</v>
      </c>
      <c r="Y32" s="100">
        <v>0</v>
      </c>
      <c r="Z32" s="100">
        <v>40180</v>
      </c>
      <c r="AA32" s="113"/>
      <c r="AB32" s="113"/>
      <c r="AC32" s="52"/>
      <c r="AD32" s="87">
        <v>20000</v>
      </c>
      <c r="AE32" s="100">
        <v>80000</v>
      </c>
      <c r="AF32" s="93"/>
      <c r="AG32" s="34" t="s">
        <v>238</v>
      </c>
      <c r="AH32" s="59"/>
      <c r="AI32" s="98"/>
      <c r="AK32" s="244"/>
    </row>
    <row r="33" spans="1:35" ht="12.95">
      <c r="P33" s="198"/>
      <c r="Q33" s="198"/>
      <c r="R33" s="198"/>
      <c r="S33" s="198"/>
      <c r="T33" s="198"/>
      <c r="U33" s="198"/>
      <c r="V33" s="198"/>
      <c r="W33" s="198"/>
      <c r="X33" s="198"/>
      <c r="Y33" s="198"/>
      <c r="Z33" s="198"/>
      <c r="AG33" s="69"/>
    </row>
    <row r="34" spans="1:35" ht="25.5" customHeight="1">
      <c r="A34" s="398" t="s">
        <v>243</v>
      </c>
      <c r="B34" s="165" t="s">
        <v>244</v>
      </c>
      <c r="C34" s="68"/>
      <c r="D34" s="68"/>
      <c r="E34" s="68">
        <v>150</v>
      </c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178"/>
      <c r="Q34" s="178"/>
      <c r="R34" s="178"/>
      <c r="S34" s="178"/>
      <c r="T34" s="29"/>
      <c r="U34" s="29"/>
      <c r="V34" s="245"/>
      <c r="W34" s="245"/>
      <c r="X34" s="245"/>
      <c r="Y34" s="245"/>
      <c r="Z34" s="247"/>
      <c r="AA34" s="31"/>
      <c r="AB34" s="31"/>
      <c r="AC34" s="52"/>
      <c r="AD34" s="34"/>
      <c r="AE34" s="34"/>
      <c r="AF34" s="93"/>
      <c r="AG34" s="179" t="s">
        <v>238</v>
      </c>
      <c r="AH34" s="59"/>
      <c r="AI34" s="400"/>
    </row>
    <row r="35" spans="1:35" ht="13.35" customHeight="1">
      <c r="A35" s="399"/>
      <c r="B35" s="166" t="s">
        <v>245</v>
      </c>
      <c r="C35" s="68"/>
      <c r="D35" s="68"/>
      <c r="E35" s="68">
        <v>12</v>
      </c>
      <c r="F35" s="248"/>
      <c r="G35" s="248"/>
      <c r="H35" s="248"/>
      <c r="I35" s="248"/>
      <c r="J35" s="248"/>
      <c r="K35" s="248"/>
      <c r="L35" s="248"/>
      <c r="M35" s="248"/>
      <c r="N35" s="248"/>
      <c r="O35" s="248"/>
      <c r="P35" s="178"/>
      <c r="Q35" s="178"/>
      <c r="R35" s="178"/>
      <c r="S35" s="178"/>
      <c r="T35" s="29"/>
      <c r="U35" s="29"/>
      <c r="V35" s="245"/>
      <c r="W35" s="245"/>
      <c r="X35" s="245"/>
      <c r="Y35" s="245"/>
      <c r="Z35" s="247"/>
      <c r="AA35" s="31"/>
      <c r="AB35" s="31"/>
      <c r="AC35" s="52"/>
      <c r="AD35" s="34"/>
      <c r="AE35" s="34"/>
      <c r="AF35" s="93"/>
      <c r="AG35" s="179" t="s">
        <v>238</v>
      </c>
      <c r="AH35" s="59"/>
      <c r="AI35" s="401"/>
    </row>
    <row r="36" spans="1:35" ht="12.95">
      <c r="AG36" s="69"/>
    </row>
    <row r="37" spans="1:35" ht="12.95">
      <c r="A37" s="392" t="s">
        <v>246</v>
      </c>
      <c r="B37" s="29" t="s">
        <v>247</v>
      </c>
      <c r="C37" s="29" t="s">
        <v>236</v>
      </c>
      <c r="D37" s="34">
        <v>560</v>
      </c>
      <c r="E37" s="34">
        <v>743</v>
      </c>
      <c r="F37" s="34">
        <v>613</v>
      </c>
      <c r="G37" s="34">
        <v>1141</v>
      </c>
      <c r="H37" s="34">
        <v>689</v>
      </c>
      <c r="I37" s="34">
        <v>547</v>
      </c>
      <c r="J37" s="34">
        <v>1172</v>
      </c>
      <c r="K37" s="34">
        <v>1448</v>
      </c>
      <c r="L37" s="34">
        <v>2046</v>
      </c>
      <c r="M37" s="34">
        <v>1147</v>
      </c>
      <c r="N37" s="34"/>
      <c r="O37" s="34"/>
      <c r="P37" s="178">
        <v>45</v>
      </c>
      <c r="Q37" s="178">
        <v>356</v>
      </c>
      <c r="R37" s="178">
        <v>190</v>
      </c>
      <c r="S37" s="179">
        <v>396</v>
      </c>
      <c r="T37" s="178">
        <v>160</v>
      </c>
      <c r="U37" s="178">
        <v>1147</v>
      </c>
      <c r="V37" s="178">
        <v>233</v>
      </c>
      <c r="W37" s="178">
        <v>250</v>
      </c>
      <c r="X37" s="178">
        <v>906</v>
      </c>
      <c r="Y37" s="179">
        <v>47</v>
      </c>
      <c r="Z37" s="178">
        <v>1436</v>
      </c>
      <c r="AA37" s="31"/>
      <c r="AB37" s="31"/>
      <c r="AC37" s="52"/>
      <c r="AD37" s="34">
        <v>250</v>
      </c>
      <c r="AE37" s="34">
        <v>1100</v>
      </c>
      <c r="AF37" s="93"/>
      <c r="AG37" s="34" t="s">
        <v>238</v>
      </c>
      <c r="AH37" s="59"/>
      <c r="AI37" s="98"/>
    </row>
    <row r="38" spans="1:35" ht="12.95">
      <c r="A38" s="393"/>
      <c r="B38" s="29" t="s">
        <v>248</v>
      </c>
      <c r="C38" s="29" t="s">
        <v>236</v>
      </c>
      <c r="D38" s="34">
        <v>115</v>
      </c>
      <c r="E38" s="34">
        <v>146</v>
      </c>
      <c r="F38" s="34">
        <v>140</v>
      </c>
      <c r="G38" s="34">
        <v>133</v>
      </c>
      <c r="H38" s="34">
        <v>145</v>
      </c>
      <c r="I38" s="34">
        <v>201</v>
      </c>
      <c r="J38" s="34">
        <v>190</v>
      </c>
      <c r="K38" s="34">
        <v>166</v>
      </c>
      <c r="L38" s="34">
        <v>204</v>
      </c>
      <c r="M38" s="34">
        <v>232</v>
      </c>
      <c r="N38" s="34">
        <v>112</v>
      </c>
      <c r="O38" s="34"/>
      <c r="P38" s="178">
        <v>36</v>
      </c>
      <c r="Q38" s="178">
        <v>46</v>
      </c>
      <c r="R38" s="178">
        <v>54</v>
      </c>
      <c r="S38" s="179">
        <v>44</v>
      </c>
      <c r="T38" s="178">
        <v>52</v>
      </c>
      <c r="U38" s="178">
        <v>232</v>
      </c>
      <c r="V38" s="178">
        <v>25</v>
      </c>
      <c r="W38" s="178">
        <v>53</v>
      </c>
      <c r="X38" s="178">
        <v>24</v>
      </c>
      <c r="Y38" s="179">
        <v>0</v>
      </c>
      <c r="Z38" s="178">
        <v>112</v>
      </c>
      <c r="AA38" s="31"/>
      <c r="AB38" s="31"/>
      <c r="AC38" s="52"/>
      <c r="AD38" s="34">
        <v>50</v>
      </c>
      <c r="AE38" s="34">
        <v>200</v>
      </c>
      <c r="AF38" s="93"/>
      <c r="AG38" s="34" t="s">
        <v>238</v>
      </c>
      <c r="AH38" s="59"/>
      <c r="AI38" s="98"/>
    </row>
    <row r="39" spans="1:35" ht="12.95">
      <c r="A39" s="393"/>
      <c r="B39" s="29" t="s">
        <v>249</v>
      </c>
      <c r="C39" s="29"/>
      <c r="D39" s="34"/>
      <c r="E39" s="34"/>
      <c r="F39" s="34"/>
      <c r="G39" s="34"/>
      <c r="H39" s="34"/>
      <c r="I39" s="34"/>
      <c r="J39" s="34">
        <v>198</v>
      </c>
      <c r="K39" s="34">
        <v>72</v>
      </c>
      <c r="L39" s="34">
        <v>46</v>
      </c>
      <c r="M39" s="34">
        <v>50</v>
      </c>
      <c r="N39" s="34">
        <v>18</v>
      </c>
      <c r="O39" s="34"/>
      <c r="P39" s="178"/>
      <c r="Q39" s="178"/>
      <c r="R39" s="178"/>
      <c r="S39" s="179"/>
      <c r="T39" s="178"/>
      <c r="U39" s="178"/>
      <c r="V39" s="245"/>
      <c r="W39" s="245"/>
      <c r="X39" s="245"/>
      <c r="Y39" s="246"/>
      <c r="Z39" s="245"/>
      <c r="AA39" s="31"/>
      <c r="AB39" s="31"/>
      <c r="AC39" s="52"/>
      <c r="AD39" s="34"/>
      <c r="AE39" s="34"/>
      <c r="AF39" s="93"/>
      <c r="AG39" s="34"/>
      <c r="AH39" s="59"/>
      <c r="AI39" s="98"/>
    </row>
    <row r="40" spans="1:35" ht="12.95">
      <c r="A40" s="393"/>
      <c r="B40" s="29" t="s">
        <v>250</v>
      </c>
      <c r="C40" s="29"/>
      <c r="D40" s="34"/>
      <c r="E40" s="34"/>
      <c r="F40" s="34"/>
      <c r="G40" s="34"/>
      <c r="H40" s="34"/>
      <c r="I40" s="34"/>
      <c r="J40" s="34">
        <v>9</v>
      </c>
      <c r="K40" s="34">
        <v>6</v>
      </c>
      <c r="L40" s="34">
        <v>6</v>
      </c>
      <c r="M40" s="34">
        <v>6</v>
      </c>
      <c r="N40" s="34">
        <v>6</v>
      </c>
      <c r="O40" s="34"/>
      <c r="P40" s="178"/>
      <c r="Q40" s="178"/>
      <c r="R40" s="178"/>
      <c r="S40" s="179"/>
      <c r="T40" s="178"/>
      <c r="U40" s="178"/>
      <c r="V40" s="245"/>
      <c r="W40" s="245"/>
      <c r="X40" s="245"/>
      <c r="Y40" s="246"/>
      <c r="Z40" s="245"/>
      <c r="AA40" s="31"/>
      <c r="AB40" s="31"/>
      <c r="AC40" s="52"/>
      <c r="AD40" s="34"/>
      <c r="AE40" s="34"/>
      <c r="AF40" s="93"/>
      <c r="AG40" s="34"/>
      <c r="AH40" s="59"/>
      <c r="AI40" s="98"/>
    </row>
    <row r="41" spans="1:35" ht="12.75" customHeight="1">
      <c r="A41" s="394"/>
      <c r="B41" s="178" t="s">
        <v>251</v>
      </c>
      <c r="C41" s="178"/>
      <c r="D41" s="179"/>
      <c r="E41" s="179"/>
      <c r="F41" s="179"/>
      <c r="G41" s="179"/>
      <c r="H41" s="179"/>
      <c r="I41" s="179"/>
      <c r="J41" s="179">
        <v>1811</v>
      </c>
      <c r="K41" s="179"/>
      <c r="L41" s="179"/>
      <c r="M41" s="179"/>
      <c r="N41" s="179"/>
      <c r="O41" s="179"/>
      <c r="P41" s="178"/>
      <c r="Q41" s="178"/>
      <c r="R41" s="178"/>
      <c r="S41" s="178"/>
      <c r="T41" s="178"/>
      <c r="U41" s="179"/>
      <c r="V41" s="178"/>
      <c r="W41" s="178"/>
      <c r="X41" s="178"/>
      <c r="Y41" s="178"/>
      <c r="Z41" s="179"/>
      <c r="AD41" s="60"/>
      <c r="AE41" s="60"/>
      <c r="AF41" s="97"/>
      <c r="AG41" s="179" t="s">
        <v>238</v>
      </c>
      <c r="AH41" s="59"/>
      <c r="AI41" s="59" t="s">
        <v>252</v>
      </c>
    </row>
    <row r="42" spans="1:35" ht="12.95">
      <c r="AG42" s="69"/>
    </row>
    <row r="43" spans="1:35" ht="15">
      <c r="A43" s="392" t="s">
        <v>253</v>
      </c>
      <c r="B43" s="29" t="s">
        <v>254</v>
      </c>
      <c r="C43" s="34"/>
      <c r="D43" s="34">
        <v>37108</v>
      </c>
      <c r="E43" s="87">
        <v>35305</v>
      </c>
      <c r="F43" s="87">
        <v>35259</v>
      </c>
      <c r="G43" s="87">
        <v>33592</v>
      </c>
      <c r="H43" s="87">
        <v>29568</v>
      </c>
      <c r="I43" s="87">
        <v>20455</v>
      </c>
      <c r="J43" s="87">
        <v>18887</v>
      </c>
      <c r="K43" s="87">
        <v>19880</v>
      </c>
      <c r="L43" s="87">
        <v>12736</v>
      </c>
      <c r="M43" s="87">
        <v>11112</v>
      </c>
      <c r="N43" s="87">
        <v>10921</v>
      </c>
      <c r="O43" s="87">
        <v>15962</v>
      </c>
      <c r="P43" s="31"/>
      <c r="Q43" s="31"/>
      <c r="R43" s="31"/>
      <c r="S43" s="31"/>
      <c r="T43" s="31"/>
      <c r="U43" s="200"/>
      <c r="V43" s="31"/>
      <c r="W43" s="31"/>
      <c r="X43" s="31"/>
      <c r="Y43" s="31"/>
      <c r="Z43" s="200"/>
      <c r="AA43" s="31"/>
      <c r="AB43" s="31"/>
      <c r="AC43" s="52"/>
      <c r="AD43" s="34"/>
      <c r="AE43" s="34" t="s">
        <v>255</v>
      </c>
      <c r="AF43" s="93"/>
      <c r="AG43" s="34" t="s">
        <v>256</v>
      </c>
      <c r="AH43" s="59"/>
      <c r="AI43" s="98" t="s">
        <v>257</v>
      </c>
    </row>
    <row r="44" spans="1:35" ht="15">
      <c r="A44" s="393"/>
      <c r="B44" s="29" t="s">
        <v>258</v>
      </c>
      <c r="C44" s="34"/>
      <c r="D44" s="34">
        <v>39032</v>
      </c>
      <c r="E44" s="87">
        <v>41127</v>
      </c>
      <c r="F44" s="87">
        <v>37820</v>
      </c>
      <c r="G44" s="87">
        <v>34964</v>
      </c>
      <c r="H44" s="87">
        <v>38259</v>
      </c>
      <c r="I44" s="87">
        <v>23648</v>
      </c>
      <c r="J44" s="87">
        <v>21923</v>
      </c>
      <c r="K44" s="87">
        <v>23629</v>
      </c>
      <c r="L44" s="87">
        <v>15267</v>
      </c>
      <c r="M44" s="87">
        <v>12221</v>
      </c>
      <c r="N44" s="87">
        <v>15177</v>
      </c>
      <c r="O44" s="87">
        <v>21857</v>
      </c>
      <c r="P44" s="31"/>
      <c r="Q44" s="31"/>
      <c r="R44" s="31"/>
      <c r="S44" s="31"/>
      <c r="T44" s="31"/>
      <c r="U44" s="200"/>
      <c r="V44" s="31"/>
      <c r="W44" s="31"/>
      <c r="X44" s="31"/>
      <c r="Y44" s="31"/>
      <c r="Z44" s="200"/>
      <c r="AA44" s="31"/>
      <c r="AB44" s="31"/>
      <c r="AC44" s="52"/>
      <c r="AD44" s="34"/>
      <c r="AE44" s="34" t="s">
        <v>255</v>
      </c>
      <c r="AF44" s="93"/>
      <c r="AG44" s="34" t="s">
        <v>256</v>
      </c>
      <c r="AH44" s="59"/>
      <c r="AI44" s="98" t="s">
        <v>257</v>
      </c>
    </row>
    <row r="45" spans="1:35" ht="12.95">
      <c r="A45" s="393"/>
      <c r="B45" s="29" t="s">
        <v>259</v>
      </c>
      <c r="C45" s="34"/>
      <c r="D45" s="88">
        <v>5.1999999999999998E-2</v>
      </c>
      <c r="E45" s="88">
        <v>0.14099999999999999</v>
      </c>
      <c r="F45" s="88">
        <v>6.8000000000000005E-2</v>
      </c>
      <c r="G45" s="88">
        <v>3.9199999999999999E-2</v>
      </c>
      <c r="H45" s="88" t="s">
        <v>260</v>
      </c>
      <c r="I45" s="88">
        <v>0.13500000000000001</v>
      </c>
      <c r="J45" s="88">
        <v>0.13800000000000001</v>
      </c>
      <c r="K45" s="88">
        <v>0.1598</v>
      </c>
      <c r="L45" s="88">
        <v>0.1658</v>
      </c>
      <c r="M45" s="88">
        <v>9.0700000000000003E-2</v>
      </c>
      <c r="N45" s="88">
        <v>0.28039999999999998</v>
      </c>
      <c r="O45" s="88">
        <v>0.2697</v>
      </c>
      <c r="P45" s="31"/>
      <c r="Q45" s="31"/>
      <c r="R45" s="31"/>
      <c r="S45" s="31"/>
      <c r="T45" s="31"/>
      <c r="U45" s="189"/>
      <c r="V45" s="31"/>
      <c r="W45" s="31"/>
      <c r="X45" s="31"/>
      <c r="Y45" s="31"/>
      <c r="Z45" s="189"/>
      <c r="AA45" s="31"/>
      <c r="AB45" s="31"/>
      <c r="AC45" s="52"/>
      <c r="AD45" s="34"/>
      <c r="AE45" s="33">
        <v>0.05</v>
      </c>
      <c r="AF45" s="93"/>
      <c r="AG45" s="34" t="s">
        <v>256</v>
      </c>
      <c r="AH45" s="59"/>
      <c r="AI45" s="98" t="s">
        <v>257</v>
      </c>
    </row>
    <row r="46" spans="1:35" ht="12.95">
      <c r="A46" s="394"/>
      <c r="B46" s="29" t="s">
        <v>261</v>
      </c>
      <c r="C46" s="34"/>
      <c r="D46" s="33">
        <v>0.9</v>
      </c>
      <c r="E46" s="33">
        <v>0.92</v>
      </c>
      <c r="F46" s="33">
        <v>0.95</v>
      </c>
      <c r="G46" s="33">
        <v>0.93</v>
      </c>
      <c r="H46" s="33">
        <v>0.94</v>
      </c>
      <c r="I46" s="33">
        <v>0.95</v>
      </c>
      <c r="J46" s="33">
        <v>0.96</v>
      </c>
      <c r="K46" s="33">
        <v>0.96</v>
      </c>
      <c r="L46" s="33">
        <v>0.91</v>
      </c>
      <c r="M46" s="33">
        <v>0.93</v>
      </c>
      <c r="N46" s="33">
        <v>0.94</v>
      </c>
      <c r="O46" s="33">
        <v>0.94</v>
      </c>
      <c r="P46" s="31"/>
      <c r="Q46" s="31"/>
      <c r="R46" s="31"/>
      <c r="S46" s="31"/>
      <c r="T46" s="31"/>
      <c r="U46" s="190"/>
      <c r="V46" s="31"/>
      <c r="W46" s="31"/>
      <c r="X46" s="31"/>
      <c r="Y46" s="31"/>
      <c r="Z46" s="190"/>
      <c r="AA46" s="31"/>
      <c r="AB46" s="31"/>
      <c r="AC46" s="52"/>
      <c r="AD46" s="34"/>
      <c r="AE46" s="33">
        <v>0.85</v>
      </c>
      <c r="AF46" s="93"/>
      <c r="AG46" s="34" t="s">
        <v>256</v>
      </c>
      <c r="AH46" s="59"/>
      <c r="AI46" s="98" t="s">
        <v>257</v>
      </c>
    </row>
    <row r="47" spans="1:35" ht="12.95">
      <c r="AG47" s="69"/>
    </row>
    <row r="48" spans="1:35" ht="12.95">
      <c r="AG48" s="69">
        <v>42</v>
      </c>
    </row>
  </sheetData>
  <mergeCells count="11">
    <mergeCell ref="AI34:AI35"/>
    <mergeCell ref="A43:A46"/>
    <mergeCell ref="P4:U4"/>
    <mergeCell ref="A37:A41"/>
    <mergeCell ref="A31:A32"/>
    <mergeCell ref="A22:A29"/>
    <mergeCell ref="A17:A20"/>
    <mergeCell ref="A8:A14"/>
    <mergeCell ref="A34:A35"/>
    <mergeCell ref="A6:A7"/>
    <mergeCell ref="V4:Z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47560-C58C-413C-B1D2-9658B82FFBC5}">
  <dimension ref="C2:H10"/>
  <sheetViews>
    <sheetView workbookViewId="0">
      <selection activeCell="C27" sqref="C27"/>
    </sheetView>
  </sheetViews>
  <sheetFormatPr defaultColWidth="8.42578125" defaultRowHeight="15"/>
  <cols>
    <col min="1" max="2" width="8.42578125" style="169"/>
    <col min="3" max="3" width="25.42578125" style="169" bestFit="1" customWidth="1"/>
    <col min="4" max="8" width="10.42578125" style="169" customWidth="1"/>
    <col min="9" max="16384" width="8.42578125" style="169"/>
  </cols>
  <sheetData>
    <row r="2" spans="3:8">
      <c r="C2" s="170" t="s">
        <v>265</v>
      </c>
      <c r="D2" s="170" t="s">
        <v>266</v>
      </c>
      <c r="E2" s="170" t="s">
        <v>267</v>
      </c>
      <c r="F2" s="170" t="s">
        <v>268</v>
      </c>
      <c r="G2" s="170" t="s">
        <v>269</v>
      </c>
      <c r="H2" s="170" t="s">
        <v>270</v>
      </c>
    </row>
    <row r="3" spans="3:8">
      <c r="E3" s="169" t="s">
        <v>7</v>
      </c>
      <c r="F3" s="169" t="s">
        <v>8</v>
      </c>
      <c r="G3" s="169" t="s">
        <v>9</v>
      </c>
      <c r="H3" s="169" t="s">
        <v>10</v>
      </c>
    </row>
    <row r="4" spans="3:8">
      <c r="C4" s="169" t="s">
        <v>159</v>
      </c>
      <c r="D4" s="169" t="s">
        <v>160</v>
      </c>
      <c r="E4" s="169" t="s">
        <v>161</v>
      </c>
      <c r="F4" s="169" t="s">
        <v>162</v>
      </c>
      <c r="G4" s="169" t="s">
        <v>163</v>
      </c>
      <c r="H4" s="169">
        <v>1087182</v>
      </c>
    </row>
    <row r="5" spans="3:8">
      <c r="C5" s="169" t="s">
        <v>164</v>
      </c>
      <c r="E5" s="169" t="s">
        <v>165</v>
      </c>
      <c r="F5" s="169" t="s">
        <v>166</v>
      </c>
      <c r="G5" s="169" t="s">
        <v>167</v>
      </c>
      <c r="H5" s="169">
        <v>678691</v>
      </c>
    </row>
    <row r="6" spans="3:8">
      <c r="C6" s="169" t="s">
        <v>170</v>
      </c>
      <c r="E6" s="169" t="s">
        <v>171</v>
      </c>
      <c r="F6" s="169" t="s">
        <v>172</v>
      </c>
      <c r="G6" s="169" t="s">
        <v>173</v>
      </c>
      <c r="H6" s="169">
        <v>259345</v>
      </c>
    </row>
    <row r="7" spans="3:8">
      <c r="C7" s="169" t="s">
        <v>176</v>
      </c>
      <c r="E7" s="169" t="s">
        <v>177</v>
      </c>
      <c r="F7" s="169" t="s">
        <v>178</v>
      </c>
      <c r="G7" s="169" t="s">
        <v>179</v>
      </c>
      <c r="H7" s="169">
        <v>149146</v>
      </c>
    </row>
    <row r="8" spans="3:8">
      <c r="H8" s="169">
        <v>0</v>
      </c>
    </row>
    <row r="9" spans="3:8">
      <c r="C9" s="169" t="s">
        <v>182</v>
      </c>
      <c r="E9" s="169" t="s">
        <v>183</v>
      </c>
      <c r="F9" s="169" t="s">
        <v>184</v>
      </c>
      <c r="G9" s="169" t="s">
        <v>185</v>
      </c>
      <c r="H9" s="169">
        <v>319586</v>
      </c>
    </row>
    <row r="10" spans="3:8">
      <c r="C10" s="169" t="s">
        <v>187</v>
      </c>
      <c r="F10" s="169" t="s">
        <v>188</v>
      </c>
      <c r="G10" s="169" t="s">
        <v>189</v>
      </c>
      <c r="H10" s="169" t="s">
        <v>190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Shishir Sharma</dc:creator>
  <cp:keywords/>
  <dc:description/>
  <cp:lastModifiedBy/>
  <cp:revision/>
  <dcterms:created xsi:type="dcterms:W3CDTF">2025-04-09T13:41:00Z</dcterms:created>
  <dcterms:modified xsi:type="dcterms:W3CDTF">2026-02-19T10:16:21Z</dcterms:modified>
  <cp:category/>
  <cp:contentStatus/>
</cp:coreProperties>
</file>